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000707\Downloads\"/>
    </mc:Choice>
  </mc:AlternateContent>
  <xr:revisionPtr revIDLastSave="0" documentId="13_ncr:1_{615B4124-6EFE-4573-A553-C901E4E0F0FC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原始数据" sheetId="1" r:id="rId1"/>
    <sheet name="饼形图" sheetId="2" r:id="rId2"/>
    <sheet name="本周操作" sheetId="8" r:id="rId3"/>
    <sheet name="后续操作计划" sheetId="3" r:id="rId4"/>
    <sheet name="投资原则" sheetId="4" r:id="rId5"/>
    <sheet name="买卖原则" sheetId="6" r:id="rId6"/>
    <sheet name="追踪标的" sheetId="7" r:id="rId7"/>
    <sheet name="情绪影响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2" l="1"/>
  <c r="L32" i="2"/>
  <c r="L31" i="2"/>
  <c r="L30" i="2"/>
  <c r="L29" i="2"/>
  <c r="L28" i="2"/>
  <c r="L27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C23" i="1"/>
  <c r="E22" i="1" s="1"/>
  <c r="O23" i="2" s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1" i="1"/>
  <c r="M33" i="2" s="1"/>
  <c r="J10" i="1"/>
  <c r="M10" i="1" s="1"/>
  <c r="J9" i="1"/>
  <c r="M31" i="2" s="1"/>
  <c r="J8" i="1"/>
  <c r="J7" i="1"/>
  <c r="M7" i="1" s="1"/>
  <c r="J6" i="1"/>
  <c r="M28" i="2" s="1"/>
  <c r="J5" i="1"/>
  <c r="M27" i="2" s="1"/>
  <c r="D10" i="8"/>
  <c r="K8" i="1" l="1"/>
  <c r="E5" i="1"/>
  <c r="E17" i="1"/>
  <c r="O18" i="2" s="1"/>
  <c r="E8" i="1"/>
  <c r="O9" i="2" s="1"/>
  <c r="N30" i="2"/>
  <c r="K9" i="1"/>
  <c r="E19" i="1"/>
  <c r="O20" i="2" s="1"/>
  <c r="K6" i="1"/>
  <c r="M30" i="2"/>
  <c r="M9" i="1"/>
  <c r="O6" i="2"/>
  <c r="M6" i="1"/>
  <c r="E10" i="1"/>
  <c r="O11" i="2" s="1"/>
  <c r="E20" i="1"/>
  <c r="O21" i="2" s="1"/>
  <c r="K11" i="1"/>
  <c r="M8" i="1"/>
  <c r="E12" i="1"/>
  <c r="O13" i="2" s="1"/>
  <c r="E18" i="1"/>
  <c r="O19" i="2" s="1"/>
  <c r="E7" i="1"/>
  <c r="O8" i="2" s="1"/>
  <c r="K10" i="1"/>
  <c r="E14" i="1"/>
  <c r="O15" i="2" s="1"/>
  <c r="K5" i="1"/>
  <c r="M11" i="1"/>
  <c r="M5" i="1"/>
  <c r="E9" i="1"/>
  <c r="O10" i="2" s="1"/>
  <c r="E13" i="1"/>
  <c r="O14" i="2" s="1"/>
  <c r="A3" i="2"/>
  <c r="M29" i="2"/>
  <c r="E6" i="1"/>
  <c r="O7" i="2" s="1"/>
  <c r="M32" i="2"/>
  <c r="E15" i="1"/>
  <c r="O16" i="2" s="1"/>
  <c r="K7" i="1"/>
  <c r="E21" i="1"/>
  <c r="O22" i="2" s="1"/>
  <c r="E16" i="1"/>
  <c r="O17" i="2" s="1"/>
  <c r="E11" i="1"/>
  <c r="O12" i="2" s="1"/>
  <c r="N28" i="2" l="1"/>
  <c r="L6" i="1"/>
  <c r="L7" i="1"/>
  <c r="N29" i="2"/>
  <c r="N33" i="2"/>
  <c r="L11" i="1"/>
  <c r="N27" i="2"/>
  <c r="L5" i="1"/>
  <c r="N31" i="2"/>
  <c r="L9" i="1"/>
  <c r="E23" i="1"/>
  <c r="N32" i="2"/>
  <c r="L10" i="1"/>
  <c r="L8" i="1"/>
</calcChain>
</file>

<file path=xl/sharedStrings.xml><?xml version="1.0" encoding="utf-8"?>
<sst xmlns="http://schemas.openxmlformats.org/spreadsheetml/2006/main" count="167" uniqueCount="101">
  <si>
    <t>投资配置数据</t>
  </si>
  <si>
    <t>原图大类</t>
  </si>
  <si>
    <t>投资品种</t>
  </si>
  <si>
    <t>制图大类</t>
  </si>
  <si>
    <t>占已填合计</t>
  </si>
  <si>
    <t>说明</t>
  </si>
  <si>
    <t>色号</t>
  </si>
  <si>
    <t>合计</t>
  </si>
  <si>
    <t>占比</t>
  </si>
  <si>
    <t>饼图标签</t>
  </si>
  <si>
    <t>饼图数值</t>
  </si>
  <si>
    <t>科技</t>
  </si>
  <si>
    <t>海力士</t>
  </si>
  <si>
    <t>#2563EB</t>
  </si>
  <si>
    <t>台积电</t>
  </si>
  <si>
    <t>有色</t>
  </si>
  <si>
    <t>锂矿</t>
  </si>
  <si>
    <t>科创50ETF</t>
  </si>
  <si>
    <t>现金</t>
  </si>
  <si>
    <t>山金国际</t>
  </si>
  <si>
    <t>#D97706</t>
  </si>
  <si>
    <t>中矿资源</t>
  </si>
  <si>
    <t>紫金矿业</t>
  </si>
  <si>
    <t>中国铝业</t>
  </si>
  <si>
    <t>图表品种标签</t>
  </si>
  <si>
    <t>制图数值</t>
  </si>
  <si>
    <t>赣锋</t>
  </si>
  <si>
    <t>#059669</t>
  </si>
  <si>
    <t>天齐</t>
  </si>
  <si>
    <t>融捷股份</t>
  </si>
  <si>
    <t>港股赣锋</t>
  </si>
  <si>
    <t>按用户确认归入锂矿</t>
  </si>
  <si>
    <t>#64748B</t>
  </si>
  <si>
    <t>已填写合计</t>
  </si>
  <si>
    <t>投资配置占比</t>
  </si>
  <si>
    <t>大类</t>
  </si>
  <si>
    <t>大类汇总</t>
  </si>
  <si>
    <t>日期</t>
    <phoneticPr fontId="4" type="noConversion"/>
  </si>
  <si>
    <t>操作</t>
    <phoneticPr fontId="4" type="noConversion"/>
  </si>
  <si>
    <r>
      <rPr>
        <sz val="11"/>
        <rFont val="DengXian"/>
        <family val="3"/>
        <charset val="134"/>
      </rPr>
      <t>现金</t>
    </r>
    <r>
      <rPr>
        <sz val="11"/>
        <rFont val="DengXian"/>
        <family val="2"/>
        <charset val="134"/>
      </rPr>
      <t>变化</t>
    </r>
    <phoneticPr fontId="4" type="noConversion"/>
  </si>
  <si>
    <t>放弃一把暴富的幻想，总用可以挣几倍来安稳自己眼前不断加重的损失，还有可以回本的机会，结果就是越亏越严重，把所有希望寄希望与一次小概率翻盘上，心理压力越来越大，动作越来越变形</t>
    <phoneticPr fontId="4" type="noConversion"/>
  </si>
  <si>
    <t>科技为主线，锂矿股博取超额收益，拒绝变成彻彻底底的赌狗，单压一只，把自己搞死</t>
    <phoneticPr fontId="4" type="noConversion"/>
  </si>
  <si>
    <t>买之前就知道大概可以涨到多少，有大概多少的收益，而不是想着两三个月内可以翻倍的可能性</t>
    <phoneticPr fontId="4" type="noConversion"/>
  </si>
  <si>
    <r>
      <rPr>
        <sz val="11"/>
        <rFont val="DengXian"/>
        <family val="3"/>
        <charset val="134"/>
      </rPr>
      <t>挣了钱，</t>
    </r>
    <r>
      <rPr>
        <sz val="11"/>
        <rFont val="DengXian"/>
        <family val="2"/>
        <charset val="134"/>
      </rPr>
      <t>就要享受，让自己放松下来最重要，不要继续瞎折腾了，心理安稳，精神放松才行</t>
    </r>
    <phoneticPr fontId="4" type="noConversion"/>
  </si>
  <si>
    <t>远离还债模式，你会被消耗，透支的</t>
    <phoneticPr fontId="4" type="noConversion"/>
  </si>
  <si>
    <t>买入原则</t>
    <phoneticPr fontId="4" type="noConversion"/>
  </si>
  <si>
    <t>止损原则</t>
    <phoneticPr fontId="4" type="noConversion"/>
  </si>
  <si>
    <t>2跌破20日均线</t>
    <phoneticPr fontId="4" type="noConversion"/>
  </si>
  <si>
    <t>1 放量大阴线</t>
    <phoneticPr fontId="4" type="noConversion"/>
  </si>
  <si>
    <t>远期估值，高赔率</t>
    <phoneticPr fontId="4" type="noConversion"/>
  </si>
  <si>
    <r>
      <rPr>
        <sz val="16"/>
        <rFont val="DengXian"/>
        <family val="3"/>
        <charset val="134"/>
      </rPr>
      <t>近期</t>
    </r>
    <r>
      <rPr>
        <sz val="16"/>
        <rFont val="DengXian"/>
        <family val="2"/>
        <charset val="134"/>
      </rPr>
      <t>涨幅</t>
    </r>
    <r>
      <rPr>
        <sz val="16"/>
        <rFont val="DengXian"/>
        <family val="3"/>
        <charset val="134"/>
      </rPr>
      <t>，</t>
    </r>
    <r>
      <rPr>
        <sz val="16"/>
        <rFont val="DengXian"/>
        <family val="2"/>
        <charset val="134"/>
      </rPr>
      <t>下跌买入</t>
    </r>
    <phoneticPr fontId="4" type="noConversion"/>
  </si>
  <si>
    <t>均线原则，20日均线，20周均线</t>
    <phoneticPr fontId="4" type="noConversion"/>
  </si>
  <si>
    <t>分批买入原则（50），后手原则（30），极端突发原则（20）</t>
    <phoneticPr fontId="4" type="noConversion"/>
  </si>
  <si>
    <t>总体仓位，7成基本仓，3分机动仓位，绝不满仓，绝不梭哈</t>
    <phoneticPr fontId="4" type="noConversion"/>
  </si>
  <si>
    <t>spacx</t>
    <phoneticPr fontId="4" type="noConversion"/>
  </si>
  <si>
    <t>宁德时代</t>
    <phoneticPr fontId="4" type="noConversion"/>
  </si>
  <si>
    <r>
      <t>杜绝慌慌张张，</t>
    </r>
    <r>
      <rPr>
        <sz val="11"/>
        <rFont val="DengXian"/>
        <family val="2"/>
        <charset val="134"/>
      </rPr>
      <t>急急忙忙，非买不可的强迫症，否则一定会出错，百分百出错</t>
    </r>
    <phoneticPr fontId="4" type="noConversion"/>
  </si>
  <si>
    <t>一定要高赔率，少搞几次，但每次都要非常赚才行。在质量不在数量，否则做的越多，错的可能性越多</t>
    <phoneticPr fontId="4" type="noConversion"/>
  </si>
  <si>
    <r>
      <t>高确定性</t>
    </r>
    <r>
      <rPr>
        <sz val="11"/>
        <rFont val="DengXian"/>
        <family val="2"/>
        <charset val="134"/>
      </rPr>
      <t>标的，必须成本低，才能挣到时间复利的钱，否则你根本享受不到</t>
    </r>
    <phoneticPr fontId="4" type="noConversion"/>
  </si>
  <si>
    <t>找到让自己心安，可以彻底放松的事物，比如音乐，固定工资，不要那么应激了，总觉得必须用尽全力，没有任何负债了才能彻底享受。你还是太缺乏安全感，太极端了</t>
  </si>
  <si>
    <t>买入大金重工100股</t>
  </si>
  <si>
    <t>买入港股创新药ETF</t>
  </si>
  <si>
    <t>买入广发创新药ETF</t>
  </si>
  <si>
    <t>买入特斯拉</t>
  </si>
  <si>
    <t>买入台积电</t>
  </si>
  <si>
    <t>买入海力士波段</t>
  </si>
  <si>
    <t>买入A500 广发ETF</t>
  </si>
  <si>
    <t>9月30号</t>
  </si>
  <si>
    <t>买入港股中芯国际</t>
  </si>
  <si>
    <t>类别</t>
  </si>
  <si>
    <t>周期股</t>
  </si>
  <si>
    <t>医药</t>
  </si>
  <si>
    <t>红利</t>
  </si>
  <si>
    <t>金额单位：万元；已计入本周操作8笔买入，共10.4万元；占比＝数值÷合计。</t>
  </si>
  <si>
    <t>数值（万元）</t>
  </si>
  <si>
    <t>已计入本周买入：0.8；买入海力士波段</t>
  </si>
  <si>
    <t>已计入本周买入：0.3；买入台积电</t>
  </si>
  <si>
    <t>港股中芯国际</t>
  </si>
  <si>
    <t>已计入本周买入：5.6；买入港股中芯国际</t>
  </si>
  <si>
    <t>特斯拉</t>
  </si>
  <si>
    <t>已计入本周买入：0.7</t>
  </si>
  <si>
    <t>大金重工</t>
  </si>
  <si>
    <t>已计入本周买入：0.4</t>
  </si>
  <si>
    <t>#9333EA</t>
  </si>
  <si>
    <t>港股创新药ETF</t>
  </si>
  <si>
    <t>已计入本周买入：0.6</t>
  </si>
  <si>
    <t>#DC2626</t>
  </si>
  <si>
    <t>广发创新药ETF</t>
  </si>
  <si>
    <t>已计入本周买入：1</t>
  </si>
  <si>
    <t>A500 广发ETF</t>
  </si>
  <si>
    <t>#0891B2</t>
  </si>
  <si>
    <t>已扣除本周买入合计10.4</t>
  </si>
  <si>
    <t>分类按本周操作填写：新增周期股、医药、红利；A500 广发ETF按用户分类归入红利。</t>
  </si>
  <si>
    <t>海力士波段并入海力士；原中芯国际零持仓项改为港股中芯国际。</t>
  </si>
  <si>
    <t>本周买入已计入，勿重复添加；现金扣减10.4万元，配置合计仍为78.5万元。</t>
  </si>
  <si>
    <t>七大类分色，包含本周买入；各标的占比均按配置总额计算。</t>
  </si>
  <si>
    <t>新增类别已纳入饼图；所有比例按原始数据计算，未放大较小扇区。</t>
  </si>
  <si>
    <t>9月30号持仓海力士10.4, 后续涨到目标位，卖出波段操作</t>
  </si>
  <si>
    <t>海力士卖出波段</t>
  </si>
  <si>
    <t>10月7号附近，海力士解禁</t>
  </si>
  <si>
    <t>如果暴跌，买入一部分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</si>
</sst>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115">
    <font>
      <sz val="11"/>
      <name val="Carlito"/>
    </font>
    <font>
      <sz val="11"/>
      <color rgb="FF172033"/>
      <name val="Microsoft YaHei"/>
      <family val="2"/>
      <charset val="134"/>
    </font>
    <font>
      <b/>
      <sz val="20"/>
      <color rgb="FF172033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9"/>
      <name val="DengXian"/>
      <family val="3"/>
      <charset val="134"/>
    </font>
    <font>
      <sz val="11"/>
      <name val="Microsoft YaHei UI"/>
      <family val="2"/>
      <charset val="134"/>
    </font>
    <font>
      <sz val="11"/>
      <name val="DengXian"/>
      <family val="3"/>
      <charset val="134"/>
    </font>
    <font>
      <sz val="11"/>
      <name val="DengXian"/>
      <family val="2"/>
      <charset val="134"/>
    </font>
    <font>
      <sz val="16"/>
      <name val="DengXian"/>
      <family val="3"/>
      <charset val="134"/>
    </font>
    <font>
      <sz val="16"/>
      <name val="DengXian"/>
      <family val="2"/>
      <charset val="134"/>
    </font>
    <font>
      <sz val="28"/>
      <name val="DengXian"/>
      <family val="3"/>
      <charset val="134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Microsoft YaHei"/>
    </font>
    <font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</fonts>
  <fills count="109">
    <fill>
      <patternFill patternType="none"/>
    </fill>
    <fill>
      <patternFill patternType="gray125"/>
    </fill>
    <fill>
      <patternFill patternType="solid">
        <fgColor rgb="FF24334B"/>
      </patternFill>
    </fill>
    <fill>
      <patternFill patternType="solid">
        <fgColor rgb="FFE8EDF4"/>
      </patternFill>
    </fill>
    <fill>
      <patternFill patternType="solid">
        <fgColor rgb="FF92D050"/>
        <bgColor indexed="64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9333EA"/>
      </patternFill>
    </fill>
    <fill>
      <patternFill patternType="solid">
        <fgColor rgb="FF9333EA"/>
      </patternFill>
    </fill>
    <fill>
      <patternFill patternType="solid">
        <fgColor rgb="FF9333EA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0891B2"/>
      </patternFill>
    </fill>
    <fill>
      <patternFill patternType="solid">
        <fgColor rgb="FF0891B2"/>
      </patternFill>
    </fill>
    <fill>
      <patternFill patternType="solid">
        <fgColor rgb="FF64748B"/>
      </patternFill>
    </fill>
    <fill>
      <patternFill patternType="solid">
        <fgColor rgb="FF64748B"/>
      </patternFill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9333EA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059669"/>
      </patternFill>
    </fill>
    <fill>
      <patternFill patternType="solid">
        <fgColor rgb="FF9333EA"/>
      </patternFill>
    </fill>
    <fill>
      <patternFill patternType="solid">
        <fgColor rgb="FF9333EA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0891B2"/>
      </patternFill>
    </fill>
    <fill>
      <patternFill patternType="solid">
        <fgColor rgb="FF64748B"/>
      </patternFill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9333EA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164" fontId="1" fillId="3" borderId="0" xfId="0" applyNumberFormat="1" applyFont="1" applyFill="1"/>
    <xf numFmtId="10" fontId="1" fillId="0" borderId="0" xfId="0" applyNumberFormat="1" applyFont="1"/>
    <xf numFmtId="10" fontId="1" fillId="3" borderId="0" xfId="0" applyNumberFormat="1" applyFont="1" applyFill="1"/>
    <xf numFmtId="10" fontId="0" fillId="0" borderId="0" xfId="0" applyNumberForma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5" fillId="0" borderId="0" xfId="0" applyFont="1" applyAlignment="1">
      <alignment horizontal="left" vertical="top" wrapText="1"/>
    </xf>
    <xf numFmtId="0" fontId="11" fillId="5" borderId="0" xfId="0" applyFont="1" applyFill="1"/>
    <xf numFmtId="0" fontId="12" fillId="6" borderId="0" xfId="0" applyFont="1" applyFill="1"/>
    <xf numFmtId="0" fontId="13" fillId="7" borderId="0" xfId="0" applyFont="1" applyFill="1"/>
    <xf numFmtId="0" fontId="14" fillId="8" borderId="0" xfId="0" applyFont="1" applyFill="1"/>
    <xf numFmtId="0" fontId="15" fillId="9" borderId="0" xfId="0" applyFont="1" applyFill="1"/>
    <xf numFmtId="0" fontId="16" fillId="10" borderId="0" xfId="0" applyFont="1" applyFill="1"/>
    <xf numFmtId="0" fontId="17" fillId="11" borderId="0" xfId="0" applyFont="1" applyFill="1"/>
    <xf numFmtId="0" fontId="18" fillId="12" borderId="0" xfId="0" applyFont="1" applyFill="1"/>
    <xf numFmtId="0" fontId="19" fillId="13" borderId="0" xfId="0" applyFont="1" applyFill="1"/>
    <xf numFmtId="0" fontId="20" fillId="14" borderId="0" xfId="0" applyFont="1" applyFill="1"/>
    <xf numFmtId="0" fontId="21" fillId="15" borderId="0" xfId="0" applyFont="1" applyFill="1"/>
    <xf numFmtId="0" fontId="22" fillId="16" borderId="0" xfId="0" applyFont="1" applyFill="1"/>
    <xf numFmtId="0" fontId="23" fillId="17" borderId="0" xfId="0" applyFont="1" applyFill="1"/>
    <xf numFmtId="0" fontId="24" fillId="18" borderId="0" xfId="0" applyFont="1" applyFill="1"/>
    <xf numFmtId="0" fontId="25" fillId="19" borderId="0" xfId="0" applyFont="1" applyFill="1"/>
    <xf numFmtId="0" fontId="26" fillId="20" borderId="0" xfId="0" applyFont="1" applyFill="1"/>
    <xf numFmtId="0" fontId="27" fillId="21" borderId="0" xfId="0" applyFont="1" applyFill="1"/>
    <xf numFmtId="0" fontId="28" fillId="22" borderId="0" xfId="0" applyFont="1" applyFill="1"/>
    <xf numFmtId="0" fontId="29" fillId="23" borderId="0" xfId="0" applyFont="1" applyFill="1"/>
    <xf numFmtId="0" fontId="30" fillId="24" borderId="0" xfId="0" applyFont="1" applyFill="1"/>
    <xf numFmtId="0" fontId="31" fillId="25" borderId="0" xfId="0" applyFont="1" applyFill="1"/>
    <xf numFmtId="0" fontId="32" fillId="26" borderId="0" xfId="0" applyFont="1" applyFill="1"/>
    <xf numFmtId="0" fontId="33" fillId="27" borderId="0" xfId="0" applyFont="1" applyFill="1"/>
    <xf numFmtId="0" fontId="34" fillId="28" borderId="0" xfId="0" applyFont="1" applyFill="1"/>
    <xf numFmtId="0" fontId="35" fillId="29" borderId="0" xfId="0" applyFont="1" applyFill="1"/>
    <xf numFmtId="0" fontId="36" fillId="30" borderId="0" xfId="0" applyFont="1" applyFill="1"/>
    <xf numFmtId="0" fontId="37" fillId="31" borderId="0" xfId="0" applyFont="1" applyFill="1"/>
    <xf numFmtId="0" fontId="38" fillId="32" borderId="0" xfId="0" applyFont="1" applyFill="1"/>
    <xf numFmtId="0" fontId="39" fillId="33" borderId="0" xfId="0" applyFont="1" applyFill="1"/>
    <xf numFmtId="0" fontId="40" fillId="34" borderId="0" xfId="0" applyFont="1" applyFill="1"/>
    <xf numFmtId="0" fontId="41" fillId="35" borderId="0" xfId="0" applyFont="1" applyFill="1"/>
    <xf numFmtId="0" fontId="42" fillId="36" borderId="0" xfId="0" applyFont="1" applyFill="1"/>
    <xf numFmtId="0" fontId="43" fillId="37" borderId="0" xfId="0" applyFont="1" applyFill="1"/>
    <xf numFmtId="0" fontId="44" fillId="38" borderId="0" xfId="0" applyFont="1" applyFill="1"/>
    <xf numFmtId="0" fontId="45" fillId="39" borderId="0" xfId="0" applyFont="1" applyFill="1"/>
    <xf numFmtId="0" fontId="46" fillId="40" borderId="0" xfId="0" applyFont="1" applyFill="1"/>
    <xf numFmtId="0" fontId="47" fillId="41" borderId="0" xfId="0" applyFont="1" applyFill="1"/>
    <xf numFmtId="0" fontId="48" fillId="42" borderId="0" xfId="0" applyFont="1" applyFill="1"/>
    <xf numFmtId="0" fontId="49" fillId="43" borderId="0" xfId="0" applyFont="1" applyFill="1"/>
    <xf numFmtId="0" fontId="50" fillId="44" borderId="0" xfId="0" applyFont="1" applyFill="1"/>
    <xf numFmtId="0" fontId="51" fillId="45" borderId="0" xfId="0" applyFont="1" applyFill="1"/>
    <xf numFmtId="0" fontId="52" fillId="46" borderId="0" xfId="0" applyFont="1" applyFill="1"/>
    <xf numFmtId="0" fontId="53" fillId="47" borderId="0" xfId="0" applyFont="1" applyFill="1"/>
    <xf numFmtId="0" fontId="54" fillId="48" borderId="0" xfId="0" applyFont="1" applyFill="1"/>
    <xf numFmtId="0" fontId="55" fillId="49" borderId="0" xfId="0" applyFont="1" applyFill="1"/>
    <xf numFmtId="0" fontId="56" fillId="50" borderId="0" xfId="0" applyFont="1" applyFill="1"/>
    <xf numFmtId="0" fontId="57" fillId="51" borderId="0" xfId="0" applyFont="1" applyFill="1"/>
    <xf numFmtId="0" fontId="58" fillId="52" borderId="0" xfId="0" applyFont="1" applyFill="1"/>
    <xf numFmtId="0" fontId="59" fillId="53" borderId="0" xfId="0" applyFont="1" applyFill="1"/>
    <xf numFmtId="0" fontId="60" fillId="54" borderId="0" xfId="0" applyFont="1" applyFill="1"/>
    <xf numFmtId="0" fontId="61" fillId="55" borderId="0" xfId="0" applyFont="1" applyFill="1"/>
    <xf numFmtId="0" fontId="62" fillId="56" borderId="0" xfId="0" applyFont="1" applyFill="1"/>
    <xf numFmtId="0" fontId="63" fillId="57" borderId="0" xfId="0" applyFont="1" applyFill="1"/>
    <xf numFmtId="0" fontId="64" fillId="58" borderId="0" xfId="0" applyFont="1" applyFill="1"/>
    <xf numFmtId="0" fontId="65" fillId="59" borderId="0" xfId="0" applyFont="1" applyFill="1"/>
    <xf numFmtId="0" fontId="66" fillId="60" borderId="0" xfId="0" applyFont="1" applyFill="1"/>
    <xf numFmtId="0" fontId="67" fillId="61" borderId="0" xfId="0" applyFont="1" applyFill="1"/>
    <xf numFmtId="0" fontId="68" fillId="62" borderId="0" xfId="0" applyFont="1" applyFill="1"/>
    <xf numFmtId="0" fontId="69" fillId="63" borderId="0" xfId="0" applyFont="1" applyFill="1"/>
    <xf numFmtId="0" fontId="70" fillId="64" borderId="0" xfId="0" applyFont="1" applyFill="1"/>
    <xf numFmtId="0" fontId="71" fillId="65" borderId="0" xfId="0" applyFont="1" applyFill="1"/>
    <xf numFmtId="0" fontId="72" fillId="66" borderId="0" xfId="0" applyFont="1" applyFill="1"/>
    <xf numFmtId="0" fontId="73" fillId="67" borderId="0" xfId="0" applyFont="1" applyFill="1"/>
    <xf numFmtId="0" fontId="74" fillId="68" borderId="0" xfId="0" applyFont="1" applyFill="1"/>
    <xf numFmtId="0" fontId="75" fillId="69" borderId="0" xfId="0" applyFont="1" applyFill="1"/>
    <xf numFmtId="0" fontId="76" fillId="70" borderId="0" xfId="0" applyFont="1" applyFill="1"/>
    <xf numFmtId="0" fontId="77" fillId="71" borderId="0" xfId="0" applyFont="1" applyFill="1"/>
    <xf numFmtId="0" fontId="78" fillId="72" borderId="0" xfId="0" applyFont="1" applyFill="1"/>
    <xf numFmtId="0" fontId="79" fillId="73" borderId="0" xfId="0" applyFont="1" applyFill="1"/>
    <xf numFmtId="0" fontId="80" fillId="74" borderId="0" xfId="0" applyFont="1" applyFill="1"/>
    <xf numFmtId="0" fontId="81" fillId="75" borderId="0" xfId="0" applyFont="1" applyFill="1"/>
    <xf numFmtId="0" fontId="82" fillId="76" borderId="0" xfId="0" applyFont="1" applyFill="1"/>
    <xf numFmtId="0" fontId="83" fillId="77" borderId="0" xfId="0" applyFont="1" applyFill="1"/>
    <xf numFmtId="0" fontId="84" fillId="78" borderId="0" xfId="0" applyFont="1" applyFill="1"/>
    <xf numFmtId="0" fontId="85" fillId="79" borderId="0" xfId="0" applyFont="1" applyFill="1"/>
    <xf numFmtId="0" fontId="86" fillId="80" borderId="0" xfId="0" applyFont="1" applyFill="1"/>
    <xf numFmtId="0" fontId="87" fillId="81" borderId="0" xfId="0" applyFont="1" applyFill="1"/>
    <xf numFmtId="0" fontId="88" fillId="82" borderId="0" xfId="0" applyFont="1" applyFill="1"/>
    <xf numFmtId="0" fontId="89" fillId="83" borderId="0" xfId="0" applyFont="1" applyFill="1"/>
    <xf numFmtId="0" fontId="90" fillId="84" borderId="0" xfId="0" applyFont="1" applyFill="1"/>
    <xf numFmtId="0" fontId="91" fillId="85" borderId="0" xfId="0" applyFont="1" applyFill="1"/>
    <xf numFmtId="0" fontId="92" fillId="86" borderId="0" xfId="0" applyFont="1" applyFill="1"/>
    <xf numFmtId="0" fontId="93" fillId="87" borderId="0" xfId="0" applyFont="1" applyFill="1"/>
    <xf numFmtId="0" fontId="94" fillId="88" borderId="0" xfId="0" applyFont="1" applyFill="1"/>
    <xf numFmtId="0" fontId="95" fillId="89" borderId="0" xfId="0" applyFont="1" applyFill="1"/>
    <xf numFmtId="0" fontId="96" fillId="90" borderId="0" xfId="0" applyFont="1" applyFill="1"/>
    <xf numFmtId="0" fontId="97" fillId="91" borderId="0" xfId="0" applyFont="1" applyFill="1"/>
    <xf numFmtId="0" fontId="98" fillId="92" borderId="0" xfId="0" applyFont="1" applyFill="1"/>
    <xf numFmtId="0" fontId="99" fillId="93" borderId="0" xfId="0" applyFont="1" applyFill="1"/>
    <xf numFmtId="0" fontId="100" fillId="94" borderId="0" xfId="0" applyFont="1" applyFill="1"/>
    <xf numFmtId="0" fontId="101" fillId="95" borderId="0" xfId="0" applyFont="1" applyFill="1"/>
    <xf numFmtId="0" fontId="102" fillId="96" borderId="0" xfId="0" applyFont="1" applyFill="1"/>
    <xf numFmtId="0" fontId="103" fillId="97" borderId="0" xfId="0" applyFont="1" applyFill="1"/>
    <xf numFmtId="0" fontId="104" fillId="98" borderId="0" xfId="0" applyFont="1" applyFill="1"/>
    <xf numFmtId="0" fontId="105" fillId="99" borderId="0" xfId="0" applyFont="1" applyFill="1"/>
    <xf numFmtId="0" fontId="106" fillId="100" borderId="0" xfId="0" applyFont="1" applyFill="1"/>
    <xf numFmtId="0" fontId="107" fillId="101" borderId="0" xfId="0" applyFont="1" applyFill="1"/>
    <xf numFmtId="0" fontId="108" fillId="102" borderId="0" xfId="0" applyFont="1" applyFill="1"/>
    <xf numFmtId="0" fontId="109" fillId="103" borderId="0" xfId="0" applyFont="1" applyFill="1"/>
    <xf numFmtId="0" fontId="110" fillId="104" borderId="0" xfId="0" applyFont="1" applyFill="1"/>
    <xf numFmtId="0" fontId="111" fillId="105" borderId="0" xfId="0" applyFont="1" applyFill="1"/>
    <xf numFmtId="0" fontId="112" fillId="106" borderId="0" xfId="0" applyFont="1" applyFill="1"/>
    <xf numFmtId="0" fontId="113" fillId="107" borderId="0" xfId="0" applyFont="1" applyFill="1"/>
    <xf numFmtId="0" fontId="114" fillId="108" borderId="0" xfId="0" applyFont="1" applyFill="1"/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zh-CN" altLang="en-US" sz="1275">
                <a:latin typeface="Microsoft YaHei"/>
                <a:ea typeface="Microsoft YaHei"/>
                <a:cs typeface="Microsoft YaHei"/>
              </a:rPr>
              <a:t>投资配置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投资配置</c:v>
          </c:tx>
          <c:dPt>
            <c:idx val="0"/>
            <c:bubble3D val="0"/>
            <c:spPr>
              <a:solidFill>
                <a:srgbClr val="2563EB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58C-413D-9336-C897105E4343}"/>
              </c:ext>
            </c:extLst>
          </c:dPt>
          <c:dPt>
            <c:idx val="1"/>
            <c:bubble3D val="0"/>
            <c:spPr>
              <a:solidFill>
                <a:srgbClr val="D97706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58C-413D-9336-C897105E4343}"/>
              </c:ext>
            </c:extLst>
          </c:dPt>
          <c:dPt>
            <c:idx val="2"/>
            <c:bubble3D val="0"/>
            <c:spPr>
              <a:solidFill>
                <a:srgbClr val="059669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58C-413D-9336-C897105E4343}"/>
              </c:ext>
            </c:extLst>
          </c:dPt>
          <c:dPt>
            <c:idx val="3"/>
            <c:bubble3D val="0"/>
            <c:spPr>
              <a:solidFill>
                <a:srgbClr val="9333EA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58C-413D-9336-C897105E4343}"/>
              </c:ext>
            </c:extLst>
          </c:dPt>
          <c:dPt>
            <c:idx val="4"/>
            <c:bubble3D val="0"/>
            <c:spPr>
              <a:solidFill>
                <a:srgbClr val="DC2626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058C-413D-9336-C897105E4343}"/>
              </c:ext>
            </c:extLst>
          </c:dPt>
          <c:dPt>
            <c:idx val="5"/>
            <c:bubble3D val="0"/>
            <c:spPr>
              <a:solidFill>
                <a:srgbClr val="0891B2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058C-413D-9336-C897105E4343}"/>
              </c:ext>
            </c:extLst>
          </c:dPt>
          <c:dPt>
            <c:idx val="6"/>
            <c:bubble3D val="0"/>
            <c:spPr>
              <a:solidFill>
                <a:srgbClr val="64748B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058C-413D-9336-C897105E4343}"/>
              </c:ext>
            </c:extLst>
          </c:dPt>
          <c:dLbls>
            <c:dLbl>
              <c:idx val="2"/>
              <c:spPr>
                <a:solidFill>
                  <a:srgbClr val="FFFFFF"/>
                </a:solidFill>
              </c:spPr>
              <c:txPr>
                <a:bodyPr/>
                <a:lstStyle/>
                <a:p>
                  <a:pPr>
                    <a:defRPr sz="1100" b="1">
                      <a:solidFill>
                        <a:srgbClr val="059669"/>
                      </a:solidFill>
                      <a:latin typeface="Microsoft YaHei"/>
                      <a:ea typeface="Microsoft YaHei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8C-413D-9336-C897105E4343}"/>
                </c:ext>
              </c:extLst>
            </c:dLbl>
            <c:dLbl>
              <c:idx val="3"/>
              <c:spPr>
                <a:solidFill>
                  <a:srgbClr val="FFFFFF"/>
                </a:solidFill>
              </c:spPr>
              <c:txPr>
                <a:bodyPr/>
                <a:lstStyle/>
                <a:p>
                  <a:pPr>
                    <a:defRPr sz="1100" b="1">
                      <a:solidFill>
                        <a:srgbClr val="9333EA"/>
                      </a:solidFill>
                      <a:latin typeface="Microsoft YaHei"/>
                      <a:ea typeface="Microsoft YaHei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8C-413D-9336-C897105E4343}"/>
                </c:ext>
              </c:extLst>
            </c:dLbl>
            <c:dLbl>
              <c:idx val="4"/>
              <c:spPr>
                <a:solidFill>
                  <a:srgbClr val="FFFFFF"/>
                </a:solidFill>
              </c:spPr>
              <c:txPr>
                <a:bodyPr/>
                <a:lstStyle/>
                <a:p>
                  <a:pPr>
                    <a:defRPr sz="1100" b="1">
                      <a:solidFill>
                        <a:srgbClr val="DC2626"/>
                      </a:solidFill>
                      <a:latin typeface="Microsoft YaHei"/>
                      <a:ea typeface="Microsoft YaHei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8C-413D-9336-C897105E4343}"/>
                </c:ext>
              </c:extLst>
            </c:dLbl>
            <c:dLbl>
              <c:idx val="5"/>
              <c:spPr>
                <a:solidFill>
                  <a:srgbClr val="FFFFFF"/>
                </a:solidFill>
              </c:spPr>
              <c:txPr>
                <a:bodyPr/>
                <a:lstStyle/>
                <a:p>
                  <a:pPr>
                    <a:defRPr sz="1100" b="1">
                      <a:solidFill>
                        <a:srgbClr val="0891B2"/>
                      </a:solidFill>
                      <a:latin typeface="Microsoft YaHei"/>
                      <a:ea typeface="Microsoft YaHei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8C-413D-9336-C897105E43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FFFFFF"/>
                    </a:solidFill>
                    <a:latin typeface="Microsoft YaHei"/>
                    <a:ea typeface="Microsoft YaHei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原始数据!$L$5:$L$11</c:f>
              <c:strCache>
                <c:ptCount val="7"/>
                <c:pt idx="0">
                  <c:v>科技 31.21%
海力士 13.25%
台积电 1.66%
港股中芯国际 7.13%
科创50ETF 8.28%
特斯拉 0.89%</c:v>
                </c:pt>
                <c:pt idx="1">
                  <c:v>有色 38.98%
山金国际 17.20%
中矿资源 10.83%
紫金矿业 8.41%
中国铝业 2.55%</c:v>
                </c:pt>
                <c:pt idx="2">
                  <c:v>锂矿 3.06%
赣锋 0.51%
天齐 0.51%
融捷股份 0.76%
港股赣锋 1.27%</c:v>
                </c:pt>
                <c:pt idx="3">
                  <c:v>周期股 0.51%
大金重工 0.51%</c:v>
                </c:pt>
                <c:pt idx="4">
                  <c:v>医药 2.04%
港股创新药ETF 0.76%
广发创新药ETF 1.27%</c:v>
                </c:pt>
                <c:pt idx="5">
                  <c:v>红利 1.27%
A500 广发ETF 1.27%</c:v>
                </c:pt>
                <c:pt idx="6">
                  <c:v>现金 22.93%</c:v>
                </c:pt>
              </c:strCache>
            </c:strRef>
          </c:cat>
          <c:val>
            <c:numRef>
              <c:f>原始数据!$M$5:$M$11</c:f>
              <c:numCache>
                <c:formatCode>General</c:formatCode>
                <c:ptCount val="7"/>
                <c:pt idx="0">
                  <c:v>24.5</c:v>
                </c:pt>
                <c:pt idx="1">
                  <c:v>30.6</c:v>
                </c:pt>
                <c:pt idx="2">
                  <c:v>2.4</c:v>
                </c:pt>
                <c:pt idx="3">
                  <c:v>0.4</c:v>
                </c:pt>
                <c:pt idx="4">
                  <c:v>1.6</c:v>
                </c:pt>
                <c:pt idx="5">
                  <c:v>1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C7-4A8F-B020-B06799C73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334375" cy="7429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workbookViewId="0">
      <selection activeCell="C5" sqref="C5"/>
    </sheetView>
  </sheetViews>
  <sheetFormatPr defaultRowHeight="14.25"/>
  <cols>
    <col min="1" max="1" width="15" customWidth="1"/>
    <col min="2" max="2" width="19" customWidth="1"/>
    <col min="3" max="5" width="16" customWidth="1"/>
    <col min="6" max="6" width="30" customWidth="1"/>
    <col min="7" max="7" width="13" customWidth="1"/>
    <col min="8" max="8" width="3" customWidth="1"/>
    <col min="9" max="11" width="19" customWidth="1"/>
    <col min="12" max="12" width="36" customWidth="1"/>
    <col min="13" max="13" width="14" customWidth="1"/>
  </cols>
  <sheetData>
    <row r="1" spans="1:16" ht="25.1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15" customHeight="1">
      <c r="A2" s="1" t="s">
        <v>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15" customHeight="1">
      <c r="A4" s="3" t="s">
        <v>1</v>
      </c>
      <c r="B4" s="3" t="s">
        <v>2</v>
      </c>
      <c r="C4" s="3" t="s">
        <v>74</v>
      </c>
      <c r="D4" s="3" t="s">
        <v>3</v>
      </c>
      <c r="E4" s="3" t="s">
        <v>4</v>
      </c>
      <c r="F4" s="3" t="s">
        <v>5</v>
      </c>
      <c r="G4" s="3" t="s">
        <v>6</v>
      </c>
      <c r="H4" s="1"/>
      <c r="I4" s="4" t="s">
        <v>3</v>
      </c>
      <c r="J4" s="4" t="s">
        <v>7</v>
      </c>
      <c r="K4" s="4" t="s">
        <v>8</v>
      </c>
      <c r="L4" s="1" t="s">
        <v>9</v>
      </c>
      <c r="M4" s="1" t="s">
        <v>10</v>
      </c>
      <c r="N4" s="1"/>
      <c r="O4" s="1"/>
      <c r="P4" s="1"/>
    </row>
    <row r="5" spans="1:16" ht="23.1" customHeight="1">
      <c r="A5" s="20" t="s">
        <v>11</v>
      </c>
      <c r="B5" s="1" t="s">
        <v>12</v>
      </c>
      <c r="C5" s="5">
        <v>10.4</v>
      </c>
      <c r="D5" s="21" t="s">
        <v>11</v>
      </c>
      <c r="E5" s="7">
        <f t="shared" ref="E5:E22" si="0">C5/$C$23</f>
        <v>0.13248407643312102</v>
      </c>
      <c r="F5" s="1" t="s">
        <v>75</v>
      </c>
      <c r="G5" s="22" t="s">
        <v>13</v>
      </c>
      <c r="H5" s="1"/>
      <c r="I5" s="74" t="s">
        <v>11</v>
      </c>
      <c r="J5" s="1">
        <f>SUMIF(D5:D22,I5,C5:C22)</f>
        <v>24.5</v>
      </c>
      <c r="K5" s="7">
        <f t="shared" ref="K5:K11" si="1">J5/$C$23</f>
        <v>0.31210191082802546</v>
      </c>
      <c r="L5" s="1" t="str">
        <f>I5&amp;" "&amp;TEXT(K5,"0.00%")&amp;CHAR(10)&amp;B5&amp;" "&amp;TEXT(E5,"0.00%")&amp;CHAR(10)&amp;B6&amp;" "&amp;TEXT(E6,"0.00%")&amp;CHAR(10)&amp;B7&amp;" "&amp;TEXT(E7,"0.00%")&amp;CHAR(10)&amp;B8&amp;" "&amp;TEXT(E8,"0.00%")&amp;CHAR(10)&amp;B9&amp;" "&amp;TEXT(E9,"0.00%")</f>
        <v>科技 31.21%
海力士 13.25%
台积电 1.66%
港股中芯国际 7.13%
科创50ETF 8.28%
特斯拉 0.89%</v>
      </c>
      <c r="M5" s="1">
        <f t="shared" ref="M5:M11" si="2">J5</f>
        <v>24.5</v>
      </c>
      <c r="N5" s="1"/>
      <c r="O5" s="1"/>
      <c r="P5" s="1"/>
    </row>
    <row r="6" spans="1:16" ht="23.1" customHeight="1">
      <c r="A6" s="23" t="s">
        <v>11</v>
      </c>
      <c r="B6" s="1" t="s">
        <v>14</v>
      </c>
      <c r="C6" s="5">
        <v>1.3</v>
      </c>
      <c r="D6" s="24" t="s">
        <v>11</v>
      </c>
      <c r="E6" s="7">
        <f t="shared" si="0"/>
        <v>1.6560509554140127E-2</v>
      </c>
      <c r="F6" s="1" t="s">
        <v>76</v>
      </c>
      <c r="G6" s="25" t="s">
        <v>13</v>
      </c>
      <c r="H6" s="1"/>
      <c r="I6" s="75" t="s">
        <v>15</v>
      </c>
      <c r="J6" s="1">
        <f>SUMIF(D5:D22,I6,C5:C22)</f>
        <v>30.6</v>
      </c>
      <c r="K6" s="7">
        <f t="shared" si="1"/>
        <v>0.38980891719745225</v>
      </c>
      <c r="L6" s="1" t="str">
        <f>I6&amp;" "&amp;TEXT(K6,"0.00%")&amp;CHAR(10)&amp;B10&amp;" "&amp;TEXT(E10,"0.00%")&amp;CHAR(10)&amp;B11&amp;" "&amp;TEXT(E11,"0.00%")&amp;CHAR(10)&amp;B12&amp;" "&amp;TEXT(E12,"0.00%")&amp;CHAR(10)&amp;B13&amp;" "&amp;TEXT(E13,"0.00%")</f>
        <v>有色 38.98%
山金国际 17.20%
中矿资源 10.83%
紫金矿业 8.41%
中国铝业 2.55%</v>
      </c>
      <c r="M6" s="1">
        <f t="shared" si="2"/>
        <v>30.6</v>
      </c>
      <c r="N6" s="1"/>
      <c r="O6" s="1"/>
      <c r="P6" s="1"/>
    </row>
    <row r="7" spans="1:16" ht="23.1" customHeight="1">
      <c r="A7" s="26" t="s">
        <v>11</v>
      </c>
      <c r="B7" s="1" t="s">
        <v>77</v>
      </c>
      <c r="C7" s="5">
        <v>5.6</v>
      </c>
      <c r="D7" s="27" t="s">
        <v>11</v>
      </c>
      <c r="E7" s="7">
        <f t="shared" si="0"/>
        <v>7.1337579617834393E-2</v>
      </c>
      <c r="F7" s="1" t="s">
        <v>78</v>
      </c>
      <c r="G7" s="28" t="s">
        <v>13</v>
      </c>
      <c r="H7" s="1"/>
      <c r="I7" s="76" t="s">
        <v>16</v>
      </c>
      <c r="J7" s="1">
        <f>SUMIF(D5:D22,I7,C5:C22)</f>
        <v>2.4</v>
      </c>
      <c r="K7" s="7">
        <f t="shared" si="1"/>
        <v>3.0573248407643312E-2</v>
      </c>
      <c r="L7" s="1" t="str">
        <f>I7&amp;" "&amp;TEXT(K7,"0.00%")&amp;CHAR(10)&amp;B14&amp;" "&amp;TEXT(E14,"0.00%")&amp;CHAR(10)&amp;B15&amp;" "&amp;TEXT(E15,"0.00%")&amp;CHAR(10)&amp;B16&amp;" "&amp;TEXT(E16,"0.00%")&amp;CHAR(10)&amp;B17&amp;" "&amp;TEXT(E17,"0.00%")</f>
        <v>锂矿 3.06%
赣锋 0.51%
天齐 0.51%
融捷股份 0.76%
港股赣锋 1.27%</v>
      </c>
      <c r="M7" s="1">
        <f t="shared" si="2"/>
        <v>2.4</v>
      </c>
      <c r="N7" s="1"/>
      <c r="O7" s="1"/>
      <c r="P7" s="1"/>
    </row>
    <row r="8" spans="1:16" ht="23.1" customHeight="1">
      <c r="A8" s="29" t="s">
        <v>11</v>
      </c>
      <c r="B8" s="1" t="s">
        <v>17</v>
      </c>
      <c r="C8" s="5">
        <v>6.5</v>
      </c>
      <c r="D8" s="30" t="s">
        <v>11</v>
      </c>
      <c r="E8" s="7">
        <f t="shared" si="0"/>
        <v>8.2802547770700632E-2</v>
      </c>
      <c r="G8" s="31" t="s">
        <v>13</v>
      </c>
      <c r="H8" s="1"/>
      <c r="I8" s="77" t="s">
        <v>70</v>
      </c>
      <c r="J8" s="1">
        <f>SUMIF(D5:D22,I8,C5:C22)</f>
        <v>0.4</v>
      </c>
      <c r="K8" s="7">
        <f t="shared" si="1"/>
        <v>5.095541401273886E-3</v>
      </c>
      <c r="L8" s="1" t="str">
        <f>I8&amp;" "&amp;TEXT(K8,"0.00%")&amp;CHAR(10)&amp;B18&amp;" "&amp;TEXT(E18,"0.00%")</f>
        <v>周期股 0.51%
大金重工 0.51%</v>
      </c>
      <c r="M8" s="1">
        <f t="shared" si="2"/>
        <v>0.4</v>
      </c>
      <c r="N8" s="1"/>
      <c r="O8" s="1"/>
      <c r="P8" s="1"/>
    </row>
    <row r="9" spans="1:16" ht="23.1" customHeight="1">
      <c r="A9" s="32" t="s">
        <v>11</v>
      </c>
      <c r="B9" s="1" t="s">
        <v>79</v>
      </c>
      <c r="C9" s="5">
        <v>0.7</v>
      </c>
      <c r="D9" s="33" t="s">
        <v>11</v>
      </c>
      <c r="E9" s="7">
        <f t="shared" si="0"/>
        <v>8.9171974522292991E-3</v>
      </c>
      <c r="F9" s="1" t="s">
        <v>80</v>
      </c>
      <c r="G9" s="34" t="s">
        <v>13</v>
      </c>
      <c r="H9" s="1"/>
      <c r="I9" s="78" t="s">
        <v>71</v>
      </c>
      <c r="J9" s="1">
        <f>SUMIF(D5:D22,I9,C5:C22)</f>
        <v>1.6</v>
      </c>
      <c r="K9" s="7">
        <f t="shared" si="1"/>
        <v>2.0382165605095544E-2</v>
      </c>
      <c r="L9" s="1" t="str">
        <f>I9&amp;" "&amp;TEXT(K9,"0.00%")&amp;CHAR(10)&amp;B19&amp;" "&amp;TEXT(E19,"0.00%")&amp;CHAR(10)&amp;B20&amp;" "&amp;TEXT(E20,"0.00%")</f>
        <v>医药 2.04%
港股创新药ETF 0.76%
广发创新药ETF 1.27%</v>
      </c>
      <c r="M9" s="1">
        <f t="shared" si="2"/>
        <v>1.6</v>
      </c>
      <c r="N9" s="1"/>
      <c r="O9" s="1"/>
      <c r="P9" s="1"/>
    </row>
    <row r="10" spans="1:16" ht="23.1" customHeight="1">
      <c r="A10" s="35" t="s">
        <v>15</v>
      </c>
      <c r="B10" s="1" t="s">
        <v>19</v>
      </c>
      <c r="C10" s="5">
        <v>13.5</v>
      </c>
      <c r="D10" s="36" t="s">
        <v>15</v>
      </c>
      <c r="E10" s="7">
        <f t="shared" si="0"/>
        <v>0.17197452229299362</v>
      </c>
      <c r="G10" s="37" t="s">
        <v>20</v>
      </c>
      <c r="H10" s="1"/>
      <c r="I10" s="79" t="s">
        <v>72</v>
      </c>
      <c r="J10" s="1">
        <f>SUMIF(D5:D22,I10,C5:C22)</f>
        <v>1</v>
      </c>
      <c r="K10" s="7">
        <f t="shared" si="1"/>
        <v>1.2738853503184714E-2</v>
      </c>
      <c r="L10" s="1" t="str">
        <f>I10&amp;" "&amp;TEXT(K10,"0.00%")&amp;CHAR(10)&amp;B21&amp;" "&amp;TEXT(E21,"0.00%")</f>
        <v>红利 1.27%
A500 广发ETF 1.27%</v>
      </c>
      <c r="M10" s="1">
        <f t="shared" si="2"/>
        <v>1</v>
      </c>
      <c r="N10" s="1"/>
      <c r="O10" s="1"/>
      <c r="P10" s="1"/>
    </row>
    <row r="11" spans="1:16" ht="23.1" customHeight="1">
      <c r="A11" s="38" t="s">
        <v>15</v>
      </c>
      <c r="B11" s="1" t="s">
        <v>21</v>
      </c>
      <c r="C11" s="5">
        <v>8.5</v>
      </c>
      <c r="D11" s="39" t="s">
        <v>15</v>
      </c>
      <c r="E11" s="7">
        <f t="shared" si="0"/>
        <v>0.10828025477707007</v>
      </c>
      <c r="G11" s="40" t="s">
        <v>20</v>
      </c>
      <c r="H11" s="1"/>
      <c r="I11" s="80" t="s">
        <v>18</v>
      </c>
      <c r="J11" s="1">
        <f>SUMIF(D5:D22,I11,C5:C22)</f>
        <v>18</v>
      </c>
      <c r="K11" s="7">
        <f t="shared" si="1"/>
        <v>0.22929936305732485</v>
      </c>
      <c r="L11" s="1" t="str">
        <f>I11&amp;" "&amp;TEXT(K11,"0.00%")</f>
        <v>现金 22.93%</v>
      </c>
      <c r="M11" s="1">
        <f t="shared" si="2"/>
        <v>18</v>
      </c>
      <c r="N11" s="1"/>
      <c r="O11" s="1"/>
      <c r="P11" s="1"/>
    </row>
    <row r="12" spans="1:16" ht="23.1" customHeight="1">
      <c r="A12" s="41" t="s">
        <v>15</v>
      </c>
      <c r="B12" s="1" t="s">
        <v>22</v>
      </c>
      <c r="C12" s="5">
        <v>6.6</v>
      </c>
      <c r="D12" s="42" t="s">
        <v>15</v>
      </c>
      <c r="E12" s="7">
        <f t="shared" si="0"/>
        <v>8.4076433121019103E-2</v>
      </c>
      <c r="G12" s="43" t="s">
        <v>20</v>
      </c>
      <c r="H12" s="1"/>
      <c r="I12" s="4" t="s">
        <v>24</v>
      </c>
      <c r="J12" s="4" t="s">
        <v>25</v>
      </c>
      <c r="N12" s="1"/>
      <c r="O12" s="1"/>
      <c r="P12" s="1"/>
    </row>
    <row r="13" spans="1:16" ht="23.1" customHeight="1">
      <c r="A13" s="44" t="s">
        <v>15</v>
      </c>
      <c r="B13" s="1" t="s">
        <v>23</v>
      </c>
      <c r="C13" s="5">
        <v>2</v>
      </c>
      <c r="D13" s="45" t="s">
        <v>15</v>
      </c>
      <c r="E13" s="7">
        <f t="shared" si="0"/>
        <v>2.5477707006369428E-2</v>
      </c>
      <c r="G13" s="46" t="s">
        <v>20</v>
      </c>
      <c r="H13" s="1"/>
      <c r="I13" s="1" t="str">
        <f t="shared" ref="I13:I30" si="3">B5</f>
        <v>海力士</v>
      </c>
      <c r="J13" s="1">
        <f t="shared" ref="J13:J30" si="4">C5</f>
        <v>10.4</v>
      </c>
      <c r="N13" s="1"/>
      <c r="O13" s="1"/>
      <c r="P13" s="1"/>
    </row>
    <row r="14" spans="1:16" ht="23.1" customHeight="1">
      <c r="A14" s="47" t="s">
        <v>16</v>
      </c>
      <c r="B14" s="1" t="s">
        <v>26</v>
      </c>
      <c r="C14" s="5">
        <v>0.4</v>
      </c>
      <c r="D14" s="48" t="s">
        <v>16</v>
      </c>
      <c r="E14" s="7">
        <f t="shared" si="0"/>
        <v>5.095541401273886E-3</v>
      </c>
      <c r="G14" s="49" t="s">
        <v>27</v>
      </c>
      <c r="H14" s="1"/>
      <c r="I14" s="1" t="str">
        <f t="shared" si="3"/>
        <v>台积电</v>
      </c>
      <c r="J14" s="1">
        <f t="shared" si="4"/>
        <v>1.3</v>
      </c>
      <c r="N14" s="1"/>
      <c r="O14" s="1"/>
      <c r="P14" s="1"/>
    </row>
    <row r="15" spans="1:16" ht="23.1" customHeight="1">
      <c r="A15" s="50" t="s">
        <v>16</v>
      </c>
      <c r="B15" s="1" t="s">
        <v>28</v>
      </c>
      <c r="C15" s="5">
        <v>0.4</v>
      </c>
      <c r="D15" s="51" t="s">
        <v>16</v>
      </c>
      <c r="E15" s="7">
        <f t="shared" si="0"/>
        <v>5.095541401273886E-3</v>
      </c>
      <c r="G15" s="52" t="s">
        <v>27</v>
      </c>
      <c r="H15" s="1"/>
      <c r="I15" s="1" t="str">
        <f t="shared" si="3"/>
        <v>港股中芯国际</v>
      </c>
      <c r="J15" s="1">
        <f t="shared" si="4"/>
        <v>5.6</v>
      </c>
      <c r="N15" s="1"/>
      <c r="O15" s="1"/>
      <c r="P15" s="1"/>
    </row>
    <row r="16" spans="1:16" ht="23.1" customHeight="1">
      <c r="A16" s="53" t="s">
        <v>16</v>
      </c>
      <c r="B16" s="1" t="s">
        <v>29</v>
      </c>
      <c r="C16" s="5">
        <v>0.6</v>
      </c>
      <c r="D16" s="54" t="s">
        <v>16</v>
      </c>
      <c r="E16" s="7">
        <f t="shared" si="0"/>
        <v>7.6433121019108281E-3</v>
      </c>
      <c r="G16" s="55" t="s">
        <v>27</v>
      </c>
      <c r="H16" s="1"/>
      <c r="I16" s="1" t="str">
        <f t="shared" si="3"/>
        <v>科创50ETF</v>
      </c>
      <c r="J16" s="1">
        <f t="shared" si="4"/>
        <v>6.5</v>
      </c>
      <c r="N16" s="1"/>
      <c r="O16" s="1"/>
      <c r="P16" s="1"/>
    </row>
    <row r="17" spans="1:16" ht="23.1" customHeight="1">
      <c r="A17" s="56" t="s">
        <v>16</v>
      </c>
      <c r="B17" s="1" t="s">
        <v>30</v>
      </c>
      <c r="C17" s="5">
        <v>1</v>
      </c>
      <c r="D17" s="57" t="s">
        <v>16</v>
      </c>
      <c r="E17" s="7">
        <f t="shared" si="0"/>
        <v>1.2738853503184714E-2</v>
      </c>
      <c r="F17" s="1" t="s">
        <v>31</v>
      </c>
      <c r="G17" s="58" t="s">
        <v>27</v>
      </c>
      <c r="H17" s="1"/>
      <c r="I17" s="1" t="str">
        <f t="shared" si="3"/>
        <v>特斯拉</v>
      </c>
      <c r="J17" s="1">
        <f t="shared" si="4"/>
        <v>0.7</v>
      </c>
      <c r="N17" s="1"/>
      <c r="O17" s="1"/>
      <c r="P17" s="1"/>
    </row>
    <row r="18" spans="1:16" ht="23.1" customHeight="1">
      <c r="A18" s="59" t="s">
        <v>70</v>
      </c>
      <c r="B18" s="1" t="s">
        <v>81</v>
      </c>
      <c r="C18" s="5">
        <v>0.4</v>
      </c>
      <c r="D18" s="60" t="s">
        <v>70</v>
      </c>
      <c r="E18" s="7">
        <f t="shared" si="0"/>
        <v>5.095541401273886E-3</v>
      </c>
      <c r="F18" s="1" t="s">
        <v>82</v>
      </c>
      <c r="G18" s="61" t="s">
        <v>83</v>
      </c>
      <c r="H18" s="1"/>
      <c r="I18" s="1" t="str">
        <f t="shared" si="3"/>
        <v>山金国际</v>
      </c>
      <c r="J18" s="1">
        <f t="shared" si="4"/>
        <v>13.5</v>
      </c>
      <c r="N18" s="1"/>
      <c r="O18" s="1"/>
      <c r="P18" s="1"/>
    </row>
    <row r="19" spans="1:16" ht="23.1" customHeight="1">
      <c r="A19" s="62" t="s">
        <v>71</v>
      </c>
      <c r="B19" s="1" t="s">
        <v>84</v>
      </c>
      <c r="C19" s="5">
        <v>0.6</v>
      </c>
      <c r="D19" s="63" t="s">
        <v>71</v>
      </c>
      <c r="E19" s="7">
        <f t="shared" si="0"/>
        <v>7.6433121019108281E-3</v>
      </c>
      <c r="F19" s="1" t="s">
        <v>85</v>
      </c>
      <c r="G19" s="64" t="s">
        <v>86</v>
      </c>
      <c r="H19" s="1"/>
      <c r="I19" s="1" t="str">
        <f t="shared" si="3"/>
        <v>中矿资源</v>
      </c>
      <c r="J19" s="1">
        <f t="shared" si="4"/>
        <v>8.5</v>
      </c>
      <c r="N19" s="1"/>
      <c r="O19" s="1"/>
      <c r="P19" s="1"/>
    </row>
    <row r="20" spans="1:16" ht="23.1" customHeight="1">
      <c r="A20" s="65" t="s">
        <v>71</v>
      </c>
      <c r="B20" s="1" t="s">
        <v>87</v>
      </c>
      <c r="C20" s="5">
        <v>1</v>
      </c>
      <c r="D20" s="66" t="s">
        <v>71</v>
      </c>
      <c r="E20" s="7">
        <f t="shared" si="0"/>
        <v>1.2738853503184714E-2</v>
      </c>
      <c r="F20" s="1" t="s">
        <v>88</v>
      </c>
      <c r="G20" s="67" t="s">
        <v>86</v>
      </c>
      <c r="H20" s="1"/>
      <c r="I20" s="1" t="str">
        <f t="shared" si="3"/>
        <v>紫金矿业</v>
      </c>
      <c r="J20" s="1">
        <f t="shared" si="4"/>
        <v>6.6</v>
      </c>
      <c r="N20" s="1"/>
      <c r="O20" s="1"/>
      <c r="P20" s="1"/>
    </row>
    <row r="21" spans="1:16" ht="23.1" customHeight="1">
      <c r="A21" s="68" t="s">
        <v>72</v>
      </c>
      <c r="B21" s="1" t="s">
        <v>89</v>
      </c>
      <c r="C21" s="5">
        <v>1</v>
      </c>
      <c r="D21" s="69" t="s">
        <v>72</v>
      </c>
      <c r="E21" s="7">
        <f t="shared" si="0"/>
        <v>1.2738853503184714E-2</v>
      </c>
      <c r="F21" s="1" t="s">
        <v>88</v>
      </c>
      <c r="G21" s="70" t="s">
        <v>90</v>
      </c>
      <c r="H21" s="1"/>
      <c r="I21" s="1" t="str">
        <f t="shared" si="3"/>
        <v>中国铝业</v>
      </c>
      <c r="J21" s="1">
        <f t="shared" si="4"/>
        <v>2</v>
      </c>
      <c r="N21" s="1"/>
      <c r="O21" s="1"/>
      <c r="P21" s="1"/>
    </row>
    <row r="22" spans="1:16" ht="23.1" customHeight="1">
      <c r="A22" s="71" t="s">
        <v>18</v>
      </c>
      <c r="B22" s="1" t="s">
        <v>18</v>
      </c>
      <c r="C22" s="5">
        <v>18</v>
      </c>
      <c r="D22" s="72" t="s">
        <v>18</v>
      </c>
      <c r="E22" s="7">
        <f t="shared" si="0"/>
        <v>0.22929936305732485</v>
      </c>
      <c r="F22" s="1" t="s">
        <v>91</v>
      </c>
      <c r="G22" s="73" t="s">
        <v>32</v>
      </c>
      <c r="H22" s="1"/>
      <c r="I22" s="1" t="str">
        <f t="shared" si="3"/>
        <v>赣锋</v>
      </c>
      <c r="J22" s="1">
        <f t="shared" si="4"/>
        <v>0.4</v>
      </c>
      <c r="N22" s="1"/>
      <c r="O22" s="1"/>
      <c r="P22" s="1"/>
    </row>
    <row r="23" spans="1:16" ht="23.1" customHeight="1">
      <c r="A23" s="4" t="s">
        <v>33</v>
      </c>
      <c r="C23" s="6">
        <f>SUM(C5:C22)</f>
        <v>78.5</v>
      </c>
      <c r="E23" s="8">
        <f>SUM(E5:E22)</f>
        <v>1</v>
      </c>
      <c r="H23" s="1"/>
      <c r="I23" s="1" t="str">
        <f t="shared" si="3"/>
        <v>天齐</v>
      </c>
      <c r="J23" s="1">
        <f t="shared" si="4"/>
        <v>0.4</v>
      </c>
      <c r="N23" s="1"/>
      <c r="O23" s="1"/>
      <c r="P23" s="1"/>
    </row>
    <row r="24" spans="1:16" ht="25.15" customHeight="1">
      <c r="H24" s="1"/>
      <c r="I24" s="1" t="str">
        <f t="shared" si="3"/>
        <v>融捷股份</v>
      </c>
      <c r="J24" s="1">
        <f t="shared" si="4"/>
        <v>0.6</v>
      </c>
      <c r="N24" s="1"/>
      <c r="O24" s="1"/>
      <c r="P24" s="1"/>
    </row>
    <row r="25" spans="1:16" ht="25.15" customHeight="1">
      <c r="A25" s="125" t="s">
        <v>92</v>
      </c>
      <c r="B25" s="126"/>
      <c r="C25" s="126"/>
      <c r="D25" s="126"/>
      <c r="E25" s="126"/>
      <c r="F25" s="126"/>
      <c r="G25" s="126"/>
      <c r="H25" s="1"/>
      <c r="I25" s="1" t="str">
        <f t="shared" si="3"/>
        <v>港股赣锋</v>
      </c>
      <c r="J25" s="1">
        <f t="shared" si="4"/>
        <v>1</v>
      </c>
      <c r="N25" s="1"/>
      <c r="O25" s="1"/>
      <c r="P25" s="1"/>
    </row>
    <row r="26" spans="1:16" ht="25.15" customHeight="1">
      <c r="A26" s="125" t="s">
        <v>93</v>
      </c>
      <c r="B26" s="126"/>
      <c r="C26" s="126"/>
      <c r="D26" s="126"/>
      <c r="E26" s="126"/>
      <c r="F26" s="126"/>
      <c r="G26" s="126"/>
      <c r="H26" s="1"/>
      <c r="I26" s="1" t="str">
        <f t="shared" si="3"/>
        <v>大金重工</v>
      </c>
      <c r="J26" s="1">
        <f t="shared" si="4"/>
        <v>0.4</v>
      </c>
      <c r="N26" s="1"/>
      <c r="O26" s="1"/>
      <c r="P26" s="1"/>
    </row>
    <row r="27" spans="1:16" ht="25.15" customHeight="1">
      <c r="A27" s="125" t="s">
        <v>94</v>
      </c>
      <c r="B27" s="126"/>
      <c r="C27" s="126"/>
      <c r="D27" s="126"/>
      <c r="E27" s="126"/>
      <c r="F27" s="126"/>
      <c r="G27" s="126"/>
      <c r="H27" s="1"/>
      <c r="I27" s="1" t="str">
        <f t="shared" si="3"/>
        <v>港股创新药ETF</v>
      </c>
      <c r="J27" s="1">
        <f t="shared" si="4"/>
        <v>0.6</v>
      </c>
      <c r="N27" s="1"/>
      <c r="O27" s="1"/>
      <c r="P27" s="1"/>
    </row>
    <row r="28" spans="1:16" ht="25.15" customHeight="1">
      <c r="A28" s="1"/>
      <c r="B28" s="1"/>
      <c r="C28" s="1"/>
      <c r="D28" s="1"/>
      <c r="E28" s="1"/>
      <c r="F28" s="1"/>
      <c r="G28" s="1"/>
      <c r="H28" s="1"/>
      <c r="I28" s="1" t="str">
        <f t="shared" si="3"/>
        <v>广发创新药ETF</v>
      </c>
      <c r="J28" s="1">
        <f t="shared" si="4"/>
        <v>1</v>
      </c>
      <c r="N28" s="1"/>
      <c r="O28" s="1"/>
      <c r="P28" s="1"/>
    </row>
    <row r="29" spans="1:16" ht="25.15" customHeight="1">
      <c r="A29" s="1"/>
      <c r="B29" s="1"/>
      <c r="C29" s="1"/>
      <c r="D29" s="1"/>
      <c r="E29" s="1"/>
      <c r="F29" s="1"/>
      <c r="G29" s="1"/>
      <c r="H29" s="1"/>
      <c r="I29" s="1" t="str">
        <f t="shared" si="3"/>
        <v>A500 广发ETF</v>
      </c>
      <c r="J29" s="1">
        <f t="shared" si="4"/>
        <v>1</v>
      </c>
      <c r="N29" s="1"/>
      <c r="O29" s="1"/>
      <c r="P29" s="1"/>
    </row>
    <row r="30" spans="1:16" ht="25.15" customHeight="1">
      <c r="A30" s="1"/>
      <c r="B30" s="1"/>
      <c r="C30" s="1"/>
      <c r="D30" s="1"/>
      <c r="E30" s="1"/>
      <c r="F30" s="1"/>
      <c r="G30" s="1"/>
      <c r="H30" s="1"/>
      <c r="I30" s="1" t="str">
        <f t="shared" si="3"/>
        <v>现金</v>
      </c>
      <c r="J30" s="1">
        <f t="shared" si="4"/>
        <v>18</v>
      </c>
      <c r="N30" s="1"/>
      <c r="O30" s="1"/>
      <c r="P30" s="1"/>
    </row>
    <row r="31" spans="1:16" ht="25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3">
    <mergeCell ref="A25:G25"/>
    <mergeCell ref="A26:G26"/>
    <mergeCell ref="A27:G2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topLeftCell="A7" workbookViewId="0">
      <selection activeCell="S25" sqref="S25"/>
    </sheetView>
  </sheetViews>
  <sheetFormatPr defaultRowHeight="14.25"/>
  <cols>
    <col min="1" max="11" width="11" customWidth="1"/>
    <col min="12" max="12" width="17" customWidth="1"/>
    <col min="13" max="13" width="19" customWidth="1"/>
    <col min="14" max="14" width="9" customWidth="1"/>
    <col min="15" max="16" width="11" customWidth="1"/>
  </cols>
  <sheetData>
    <row r="1" spans="1:16" ht="25.15" customHeight="1">
      <c r="A1" s="2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15" customHeight="1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15" customHeight="1">
      <c r="A3" s="1" t="str">
        <f>"按所列数值合计"&amp;TEXT(原始数据!C23,"0.0#")&amp;"万元计算；已计入本周买入10.4万元。"</f>
        <v>按所列数值合计78.5万元计算；已计入本周买入10.4万元。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 t="s">
        <v>35</v>
      </c>
      <c r="M5" s="3" t="s">
        <v>2</v>
      </c>
      <c r="N5" s="3" t="s">
        <v>74</v>
      </c>
      <c r="O5" s="3" t="s">
        <v>8</v>
      </c>
      <c r="P5" s="1"/>
    </row>
    <row r="6" spans="1:16" ht="25.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81" t="str">
        <f>原始数据!D5</f>
        <v>科技</v>
      </c>
      <c r="M6" s="82" t="str">
        <f>原始数据!B5</f>
        <v>海力士</v>
      </c>
      <c r="N6" s="5">
        <f>原始数据!C5</f>
        <v>10.4</v>
      </c>
      <c r="O6" s="7">
        <f>原始数据!E5</f>
        <v>0.13248407643312102</v>
      </c>
      <c r="P6" s="1"/>
    </row>
    <row r="7" spans="1:16" ht="25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83" t="str">
        <f>原始数据!D6</f>
        <v>科技</v>
      </c>
      <c r="M7" s="84" t="str">
        <f>原始数据!B6</f>
        <v>台积电</v>
      </c>
      <c r="N7" s="5">
        <f>原始数据!C6</f>
        <v>1.3</v>
      </c>
      <c r="O7" s="7">
        <f>原始数据!E6</f>
        <v>1.6560509554140127E-2</v>
      </c>
      <c r="P7" s="1"/>
    </row>
    <row r="8" spans="1:16" ht="25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85" t="str">
        <f>原始数据!D7</f>
        <v>科技</v>
      </c>
      <c r="M8" s="86" t="str">
        <f>原始数据!B7</f>
        <v>港股中芯国际</v>
      </c>
      <c r="N8" s="5">
        <f>原始数据!C7</f>
        <v>5.6</v>
      </c>
      <c r="O8" s="7">
        <f>原始数据!E7</f>
        <v>7.1337579617834393E-2</v>
      </c>
      <c r="P8" s="1"/>
    </row>
    <row r="9" spans="1:16" ht="25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87" t="str">
        <f>原始数据!D8</f>
        <v>科技</v>
      </c>
      <c r="M9" s="88" t="str">
        <f>原始数据!B8</f>
        <v>科创50ETF</v>
      </c>
      <c r="N9" s="5">
        <f>原始数据!C8</f>
        <v>6.5</v>
      </c>
      <c r="O9" s="7">
        <f>原始数据!E8</f>
        <v>8.2802547770700632E-2</v>
      </c>
      <c r="P9" s="1"/>
    </row>
    <row r="10" spans="1:16" ht="25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89" t="str">
        <f>原始数据!D9</f>
        <v>科技</v>
      </c>
      <c r="M10" s="90" t="str">
        <f>原始数据!B9</f>
        <v>特斯拉</v>
      </c>
      <c r="N10" s="5">
        <f>原始数据!C9</f>
        <v>0.7</v>
      </c>
      <c r="O10" s="7">
        <f>原始数据!E9</f>
        <v>8.9171974522292991E-3</v>
      </c>
      <c r="P10" s="1"/>
    </row>
    <row r="11" spans="1:16" ht="25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91" t="str">
        <f>原始数据!D10</f>
        <v>有色</v>
      </c>
      <c r="M11" s="92" t="str">
        <f>原始数据!B10</f>
        <v>山金国际</v>
      </c>
      <c r="N11" s="5">
        <f>原始数据!C10</f>
        <v>13.5</v>
      </c>
      <c r="O11" s="7">
        <f>原始数据!E10</f>
        <v>0.17197452229299362</v>
      </c>
      <c r="P11" s="1"/>
    </row>
    <row r="12" spans="1:16" ht="25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93" t="str">
        <f>原始数据!D11</f>
        <v>有色</v>
      </c>
      <c r="M12" s="94" t="str">
        <f>原始数据!B11</f>
        <v>中矿资源</v>
      </c>
      <c r="N12" s="5">
        <f>原始数据!C11</f>
        <v>8.5</v>
      </c>
      <c r="O12" s="7">
        <f>原始数据!E11</f>
        <v>0.10828025477707007</v>
      </c>
      <c r="P12" s="1"/>
    </row>
    <row r="13" spans="1:16" ht="25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95" t="str">
        <f>原始数据!D12</f>
        <v>有色</v>
      </c>
      <c r="M13" s="96" t="str">
        <f>原始数据!B12</f>
        <v>紫金矿业</v>
      </c>
      <c r="N13" s="5">
        <f>原始数据!C12</f>
        <v>6.6</v>
      </c>
      <c r="O13" s="7">
        <f>原始数据!E12</f>
        <v>8.4076433121019103E-2</v>
      </c>
      <c r="P13" s="1"/>
    </row>
    <row r="14" spans="1:16" ht="25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97" t="str">
        <f>原始数据!D13</f>
        <v>有色</v>
      </c>
      <c r="M14" s="98" t="str">
        <f>原始数据!B13</f>
        <v>中国铝业</v>
      </c>
      <c r="N14" s="5">
        <f>原始数据!C13</f>
        <v>2</v>
      </c>
      <c r="O14" s="7">
        <f>原始数据!E13</f>
        <v>2.5477707006369428E-2</v>
      </c>
      <c r="P14" s="1"/>
    </row>
    <row r="15" spans="1:16" ht="25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99" t="str">
        <f>原始数据!D14</f>
        <v>锂矿</v>
      </c>
      <c r="M15" s="100" t="str">
        <f>原始数据!B14</f>
        <v>赣锋</v>
      </c>
      <c r="N15" s="5">
        <f>原始数据!C14</f>
        <v>0.4</v>
      </c>
      <c r="O15" s="7">
        <f>原始数据!E14</f>
        <v>5.095541401273886E-3</v>
      </c>
      <c r="P15" s="1"/>
    </row>
    <row r="16" spans="1:16" ht="25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01" t="str">
        <f>原始数据!D15</f>
        <v>锂矿</v>
      </c>
      <c r="M16" s="102" t="str">
        <f>原始数据!B15</f>
        <v>天齐</v>
      </c>
      <c r="N16" s="5">
        <f>原始数据!C15</f>
        <v>0.4</v>
      </c>
      <c r="O16" s="7">
        <f>原始数据!E15</f>
        <v>5.095541401273886E-3</v>
      </c>
      <c r="P16" s="1"/>
    </row>
    <row r="17" spans="1:16" ht="25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03" t="str">
        <f>原始数据!D16</f>
        <v>锂矿</v>
      </c>
      <c r="M17" s="104" t="str">
        <f>原始数据!B16</f>
        <v>融捷股份</v>
      </c>
      <c r="N17" s="5">
        <f>原始数据!C16</f>
        <v>0.6</v>
      </c>
      <c r="O17" s="7">
        <f>原始数据!E16</f>
        <v>7.6433121019108281E-3</v>
      </c>
      <c r="P17" s="1"/>
    </row>
    <row r="18" spans="1:16" ht="25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05" t="str">
        <f>原始数据!D17</f>
        <v>锂矿</v>
      </c>
      <c r="M18" s="106" t="str">
        <f>原始数据!B17</f>
        <v>港股赣锋</v>
      </c>
      <c r="N18" s="5">
        <f>原始数据!C17</f>
        <v>1</v>
      </c>
      <c r="O18" s="7">
        <f>原始数据!E17</f>
        <v>1.2738853503184714E-2</v>
      </c>
      <c r="P18" s="1"/>
    </row>
    <row r="19" spans="1:16" ht="25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07" t="str">
        <f>原始数据!D18</f>
        <v>周期股</v>
      </c>
      <c r="M19" s="108" t="str">
        <f>原始数据!B18</f>
        <v>大金重工</v>
      </c>
      <c r="N19" s="5">
        <f>原始数据!C18</f>
        <v>0.4</v>
      </c>
      <c r="O19" s="7">
        <f>原始数据!E18</f>
        <v>5.095541401273886E-3</v>
      </c>
      <c r="P19" s="1"/>
    </row>
    <row r="20" spans="1:16" ht="25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09" t="str">
        <f>原始数据!D19</f>
        <v>医药</v>
      </c>
      <c r="M20" s="110" t="str">
        <f>原始数据!B19</f>
        <v>港股创新药ETF</v>
      </c>
      <c r="N20" s="5">
        <f>原始数据!C19</f>
        <v>0.6</v>
      </c>
      <c r="O20" s="7">
        <f>原始数据!E19</f>
        <v>7.6433121019108281E-3</v>
      </c>
      <c r="P20" s="1"/>
    </row>
    <row r="21" spans="1:16" ht="25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11" t="str">
        <f>原始数据!D20</f>
        <v>医药</v>
      </c>
      <c r="M21" s="112" t="str">
        <f>原始数据!B20</f>
        <v>广发创新药ETF</v>
      </c>
      <c r="N21" s="5">
        <f>原始数据!C20</f>
        <v>1</v>
      </c>
      <c r="O21" s="7">
        <f>原始数据!E20</f>
        <v>1.2738853503184714E-2</v>
      </c>
      <c r="P21" s="1"/>
    </row>
    <row r="22" spans="1:16" ht="25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13" t="str">
        <f>原始数据!D21</f>
        <v>红利</v>
      </c>
      <c r="M22" s="114" t="str">
        <f>原始数据!B21</f>
        <v>A500 广发ETF</v>
      </c>
      <c r="N22" s="5">
        <f>原始数据!C21</f>
        <v>1</v>
      </c>
      <c r="O22" s="7">
        <f>原始数据!E21</f>
        <v>1.2738853503184714E-2</v>
      </c>
      <c r="P22" s="1"/>
    </row>
    <row r="23" spans="1:16" ht="25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15" t="str">
        <f>原始数据!D22</f>
        <v>现金</v>
      </c>
      <c r="M23" s="116" t="str">
        <f>原始数据!B22</f>
        <v>现金</v>
      </c>
      <c r="N23" s="5">
        <f>原始数据!C22</f>
        <v>18</v>
      </c>
      <c r="O23" s="7">
        <f>原始数据!E22</f>
        <v>0.22929936305732485</v>
      </c>
      <c r="P23" s="1"/>
    </row>
    <row r="24" spans="1:16" ht="25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P24" s="1"/>
    </row>
    <row r="25" spans="1:16" ht="25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P25" s="1"/>
    </row>
    <row r="26" spans="1:16" ht="25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 t="s">
        <v>36</v>
      </c>
      <c r="M26" s="1" t="s">
        <v>74</v>
      </c>
      <c r="N26" s="1" t="s">
        <v>8</v>
      </c>
      <c r="P26" s="1"/>
    </row>
    <row r="27" spans="1:16" ht="25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17" t="str">
        <f>原始数据!I5</f>
        <v>科技</v>
      </c>
      <c r="M27">
        <f>原始数据!J5</f>
        <v>24.5</v>
      </c>
      <c r="N27" s="9">
        <f>原始数据!K5</f>
        <v>0.31210191082802546</v>
      </c>
      <c r="P27" s="1"/>
    </row>
    <row r="28" spans="1:16" ht="25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18" t="str">
        <f>原始数据!I6</f>
        <v>有色</v>
      </c>
      <c r="M28">
        <f>原始数据!J6</f>
        <v>30.6</v>
      </c>
      <c r="N28" s="9">
        <f>原始数据!K6</f>
        <v>0.38980891719745225</v>
      </c>
      <c r="P28" s="1"/>
    </row>
    <row r="29" spans="1:16" ht="25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19" t="str">
        <f>原始数据!I7</f>
        <v>锂矿</v>
      </c>
      <c r="M29">
        <f>原始数据!J7</f>
        <v>2.4</v>
      </c>
      <c r="N29" s="9">
        <f>原始数据!K7</f>
        <v>3.0573248407643312E-2</v>
      </c>
      <c r="P29" s="1"/>
    </row>
    <row r="30" spans="1:16" ht="25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20" t="str">
        <f>原始数据!I8</f>
        <v>周期股</v>
      </c>
      <c r="M30">
        <f>原始数据!J8</f>
        <v>0.4</v>
      </c>
      <c r="N30" s="9">
        <f>原始数据!K8</f>
        <v>5.095541401273886E-3</v>
      </c>
      <c r="P30" s="1"/>
    </row>
    <row r="31" spans="1:16" ht="25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21" t="str">
        <f>原始数据!I9</f>
        <v>医药</v>
      </c>
      <c r="M31">
        <f>原始数据!J9</f>
        <v>1.6</v>
      </c>
      <c r="N31" s="9">
        <f>原始数据!K9</f>
        <v>2.0382165605095544E-2</v>
      </c>
      <c r="P31" s="1"/>
    </row>
    <row r="32" spans="1:16" ht="25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22" t="str">
        <f>原始数据!I10</f>
        <v>红利</v>
      </c>
      <c r="M32">
        <f>原始数据!J10</f>
        <v>1</v>
      </c>
      <c r="N32" s="9">
        <f>原始数据!K10</f>
        <v>1.2738853503184714E-2</v>
      </c>
      <c r="P32" s="1"/>
    </row>
    <row r="33" spans="1:16" ht="25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23" t="str">
        <f>原始数据!I11</f>
        <v>现金</v>
      </c>
      <c r="M33">
        <f>原始数据!J11</f>
        <v>18</v>
      </c>
      <c r="N33" s="9">
        <f>原始数据!K11</f>
        <v>0.22929936305732485</v>
      </c>
      <c r="P33" s="1"/>
    </row>
    <row r="34" spans="1:16" ht="25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15" customHeight="1">
      <c r="A35" s="1" t="s">
        <v>96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24C4-E2D1-4A07-BB91-E99E564630EA}">
  <dimension ref="A1:D10"/>
  <sheetViews>
    <sheetView workbookViewId="0">
      <selection activeCell="C8" sqref="C8"/>
    </sheetView>
  </sheetViews>
  <sheetFormatPr defaultRowHeight="14.25"/>
  <cols>
    <col min="1" max="2" width="31.75" style="11" customWidth="1"/>
    <col min="3" max="3" width="34.75" style="11" customWidth="1"/>
    <col min="4" max="4" width="33.875" style="11" customWidth="1"/>
    <col min="5" max="16384" width="9" style="11"/>
  </cols>
  <sheetData>
    <row r="1" spans="1:4">
      <c r="A1" s="10" t="s">
        <v>37</v>
      </c>
      <c r="B1" s="10" t="s">
        <v>69</v>
      </c>
      <c r="C1" s="10" t="s">
        <v>38</v>
      </c>
      <c r="D1" s="10" t="s">
        <v>39</v>
      </c>
    </row>
    <row r="2" spans="1:4" ht="16.5">
      <c r="A2" s="124"/>
      <c r="B2" s="19" t="s">
        <v>70</v>
      </c>
      <c r="C2" s="10" t="s">
        <v>60</v>
      </c>
      <c r="D2" s="11">
        <v>-0.4</v>
      </c>
    </row>
    <row r="3" spans="1:4" ht="16.5">
      <c r="A3" s="124"/>
      <c r="B3" s="19" t="s">
        <v>71</v>
      </c>
      <c r="C3" s="10" t="s">
        <v>61</v>
      </c>
      <c r="D3" s="11">
        <v>-0.6</v>
      </c>
    </row>
    <row r="4" spans="1:4" ht="32.25" customHeight="1">
      <c r="A4" s="124"/>
      <c r="B4" s="19" t="s">
        <v>71</v>
      </c>
      <c r="C4" s="10" t="s">
        <v>62</v>
      </c>
      <c r="D4" s="11">
        <v>-1</v>
      </c>
    </row>
    <row r="5" spans="1:4" ht="16.5">
      <c r="A5" s="12"/>
      <c r="B5" s="12" t="s">
        <v>11</v>
      </c>
      <c r="C5" s="10" t="s">
        <v>63</v>
      </c>
      <c r="D5" s="13">
        <v>-0.7</v>
      </c>
    </row>
    <row r="6" spans="1:4" ht="16.5">
      <c r="B6" s="12" t="s">
        <v>11</v>
      </c>
      <c r="C6" s="11" t="s">
        <v>64</v>
      </c>
      <c r="D6" s="11">
        <v>-0.3</v>
      </c>
    </row>
    <row r="7" spans="1:4" ht="16.5">
      <c r="B7" s="12" t="s">
        <v>11</v>
      </c>
      <c r="C7" s="11" t="s">
        <v>65</v>
      </c>
      <c r="D7" s="11">
        <v>-0.8</v>
      </c>
    </row>
    <row r="8" spans="1:4" ht="16.5">
      <c r="B8" s="12" t="s">
        <v>11</v>
      </c>
      <c r="C8" s="11" t="s">
        <v>68</v>
      </c>
      <c r="D8" s="11">
        <v>-5.6</v>
      </c>
    </row>
    <row r="9" spans="1:4">
      <c r="B9" s="11" t="s">
        <v>72</v>
      </c>
      <c r="C9" s="11" t="s">
        <v>66</v>
      </c>
      <c r="D9" s="11">
        <v>-1</v>
      </c>
    </row>
    <row r="10" spans="1:4" s="18" customFormat="1">
      <c r="A10" s="18" t="s">
        <v>67</v>
      </c>
      <c r="D10" s="18">
        <f>SUM(D2:D9)</f>
        <v>-10.399999999999999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CCBB-64AF-4FF9-87AA-B6B06ACC3BC0}">
  <dimension ref="A1:C4"/>
  <sheetViews>
    <sheetView tabSelected="1" workbookViewId="0">
      <selection activeCell="B11" sqref="B11"/>
    </sheetView>
  </sheetViews>
  <sheetFormatPr defaultRowHeight="14.25"/>
  <cols>
    <col min="1" max="1" width="31.75" style="11" customWidth="1"/>
    <col min="2" max="2" width="34.75" style="11" customWidth="1"/>
    <col min="3" max="3" width="33.875" style="11" customWidth="1"/>
    <col min="4" max="16384" width="9" style="11"/>
  </cols>
  <sheetData>
    <row r="1" spans="1:3">
      <c r="A1" s="10" t="s">
        <v>37</v>
      </c>
      <c r="B1" s="10" t="s">
        <v>38</v>
      </c>
      <c r="C1" s="10" t="s">
        <v>39</v>
      </c>
    </row>
    <row r="2" spans="1:3">
      <c r="A2" s="10"/>
      <c r="B2" s="10"/>
      <c r="C2" s="10"/>
    </row>
    <row r="3" spans="1:3" ht="30">
      <c r="A3" s="12"/>
      <c r="B3" s="10" t="s">
        <v>98</v>
      </c>
      <c r="C3" s="13" t="s">
        <v>97</v>
      </c>
    </row>
    <row r="4" spans="1:3">
      <c r="A4" s="11" t="s">
        <v>99</v>
      </c>
      <c r="B4" s="11" t="s">
        <v>100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1EBD-EFA5-41D6-9BF6-80E6A55879E2}">
  <dimension ref="A1:A7"/>
  <sheetViews>
    <sheetView workbookViewId="0">
      <selection activeCell="A14" sqref="A14:A17"/>
    </sheetView>
  </sheetViews>
  <sheetFormatPr defaultRowHeight="14.25"/>
  <cols>
    <col min="1" max="1" width="97.5" style="11" customWidth="1"/>
    <col min="2" max="16384" width="9" style="11"/>
  </cols>
  <sheetData>
    <row r="1" spans="1:1">
      <c r="A1" s="10" t="s">
        <v>57</v>
      </c>
    </row>
    <row r="2" spans="1:1">
      <c r="A2" s="10" t="s">
        <v>58</v>
      </c>
    </row>
    <row r="3" spans="1:1">
      <c r="A3" s="13" t="s">
        <v>41</v>
      </c>
    </row>
    <row r="4" spans="1:1">
      <c r="A4" s="10" t="s">
        <v>42</v>
      </c>
    </row>
    <row r="5" spans="1:1">
      <c r="A5" s="10" t="s">
        <v>43</v>
      </c>
    </row>
    <row r="6" spans="1:1">
      <c r="A6" s="10" t="s">
        <v>44</v>
      </c>
    </row>
    <row r="7" spans="1:1">
      <c r="A7" s="10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7C3F-344F-44D5-8426-D4964AE3170A}">
  <dimension ref="A1:B6"/>
  <sheetViews>
    <sheetView workbookViewId="0">
      <selection activeCell="D3" sqref="D3"/>
    </sheetView>
  </sheetViews>
  <sheetFormatPr defaultRowHeight="14.25"/>
  <cols>
    <col min="1" max="1" width="85.125" style="11" customWidth="1"/>
    <col min="2" max="2" width="30.125" style="11" customWidth="1"/>
    <col min="3" max="16384" width="9" style="11"/>
  </cols>
  <sheetData>
    <row r="1" spans="1:2" ht="46.15" customHeight="1">
      <c r="A1" s="16" t="s">
        <v>45</v>
      </c>
      <c r="B1" s="16" t="s">
        <v>46</v>
      </c>
    </row>
    <row r="2" spans="1:2" ht="20.25">
      <c r="A2" s="15" t="s">
        <v>49</v>
      </c>
      <c r="B2" s="15" t="s">
        <v>48</v>
      </c>
    </row>
    <row r="3" spans="1:2" ht="20.25">
      <c r="A3" s="15" t="s">
        <v>50</v>
      </c>
      <c r="B3" s="15" t="s">
        <v>47</v>
      </c>
    </row>
    <row r="4" spans="1:2" ht="20.25">
      <c r="A4" s="15" t="s">
        <v>51</v>
      </c>
    </row>
    <row r="5" spans="1:2" ht="20.25" customHeight="1">
      <c r="A5" s="17" t="s">
        <v>52</v>
      </c>
    </row>
    <row r="6" spans="1:2" ht="15.95" customHeight="1">
      <c r="A6" s="15" t="s">
        <v>53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60B7-215B-4182-B1AE-47046958131A}">
  <dimension ref="A1:A2"/>
  <sheetViews>
    <sheetView workbookViewId="0">
      <selection activeCell="H18" sqref="H18"/>
    </sheetView>
  </sheetViews>
  <sheetFormatPr defaultRowHeight="14.25"/>
  <sheetData>
    <row r="1" spans="1:1">
      <c r="A1" s="14" t="s">
        <v>54</v>
      </c>
    </row>
    <row r="2" spans="1:1">
      <c r="A2" s="14" t="s">
        <v>55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6CBF-A49D-42D6-870E-A946B85977E5}">
  <dimension ref="A1:A3"/>
  <sheetViews>
    <sheetView workbookViewId="0">
      <selection activeCell="A25" sqref="A25"/>
    </sheetView>
  </sheetViews>
  <sheetFormatPr defaultRowHeight="14.25"/>
  <cols>
    <col min="1" max="1" width="92.125" style="11" customWidth="1"/>
    <col min="2" max="16384" width="9" style="11"/>
  </cols>
  <sheetData>
    <row r="1" spans="1:1" ht="39" customHeight="1">
      <c r="A1" s="10" t="s">
        <v>56</v>
      </c>
    </row>
    <row r="2" spans="1:1" ht="28.5">
      <c r="A2" s="10" t="s">
        <v>40</v>
      </c>
    </row>
    <row r="3" spans="1:1" ht="28.5">
      <c r="A3" s="10" t="s">
        <v>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原始数据</vt:lpstr>
      <vt:lpstr>饼形图</vt:lpstr>
      <vt:lpstr>本周操作</vt:lpstr>
      <vt:lpstr>后续操作计划</vt:lpstr>
      <vt:lpstr>投资原则</vt:lpstr>
      <vt:lpstr>买卖原则</vt:lpstr>
      <vt:lpstr>追踪标的</vt:lpstr>
      <vt:lpstr>情绪影响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Haiyu Li</cp:lastModifiedBy>
  <dcterms:modified xsi:type="dcterms:W3CDTF">2026-09-30T08:48:03Z</dcterms:modified>
</cp:coreProperties>
</file>