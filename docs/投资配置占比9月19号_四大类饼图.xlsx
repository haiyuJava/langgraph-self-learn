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23\IdeaProjects\build-web-site\personal-website\outputs\investment_mix\"/>
    </mc:Choice>
  </mc:AlternateContent>
  <xr:revisionPtr revIDLastSave="0" documentId="13_ncr:1_{E4E1A10C-97CA-4853-8F1F-AD8451BFB8A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原始数据" sheetId="1" r:id="rId1"/>
    <sheet name="饼形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2" l="1"/>
  <c r="L24" i="2"/>
  <c r="L23" i="2"/>
  <c r="L22" i="2"/>
  <c r="N18" i="2"/>
  <c r="M18" i="2"/>
  <c r="L18" i="2"/>
  <c r="N17" i="2"/>
  <c r="M17" i="2"/>
  <c r="L17" i="2"/>
  <c r="N16" i="2"/>
  <c r="L16" i="2"/>
  <c r="N15" i="2"/>
  <c r="L15" i="2"/>
  <c r="N14" i="2"/>
  <c r="L14" i="2"/>
  <c r="N13" i="2"/>
  <c r="L13" i="2"/>
  <c r="N12" i="2"/>
  <c r="L12" i="2"/>
  <c r="N11" i="2"/>
  <c r="L11" i="2"/>
  <c r="N10" i="2"/>
  <c r="L10" i="2"/>
  <c r="N9" i="2"/>
  <c r="M9" i="2"/>
  <c r="L9" i="2"/>
  <c r="N8" i="2"/>
  <c r="M8" i="2"/>
  <c r="L8" i="2"/>
  <c r="N7" i="2"/>
  <c r="M7" i="2"/>
  <c r="L7" i="2"/>
  <c r="N6" i="2"/>
  <c r="L6" i="2"/>
  <c r="A3" i="2"/>
  <c r="J25" i="1"/>
  <c r="I25" i="1"/>
  <c r="J24" i="1"/>
  <c r="I24" i="1"/>
  <c r="J23" i="1"/>
  <c r="I23" i="1"/>
  <c r="M16" i="2" s="1"/>
  <c r="J22" i="1"/>
  <c r="I22" i="1"/>
  <c r="M15" i="2" s="1"/>
  <c r="J21" i="1"/>
  <c r="I21" i="1"/>
  <c r="M14" i="2" s="1"/>
  <c r="J20" i="1"/>
  <c r="I20" i="1"/>
  <c r="M13" i="2" s="1"/>
  <c r="J19" i="1"/>
  <c r="I19" i="1"/>
  <c r="M12" i="2" s="1"/>
  <c r="J18" i="1"/>
  <c r="I18" i="1"/>
  <c r="M11" i="2" s="1"/>
  <c r="C18" i="1"/>
  <c r="E9" i="1" s="1"/>
  <c r="O10" i="2" s="1"/>
  <c r="J17" i="1"/>
  <c r="I17" i="1"/>
  <c r="M10" i="2" s="1"/>
  <c r="J16" i="1"/>
  <c r="I16" i="1"/>
  <c r="E16" i="1"/>
  <c r="O17" i="2" s="1"/>
  <c r="J15" i="1"/>
  <c r="I15" i="1"/>
  <c r="J14" i="1"/>
  <c r="I14" i="1"/>
  <c r="J13" i="1"/>
  <c r="I13" i="1"/>
  <c r="M6" i="2" s="1"/>
  <c r="J8" i="1"/>
  <c r="M25" i="2" s="1"/>
  <c r="J7" i="1"/>
  <c r="M24" i="2" s="1"/>
  <c r="J6" i="1"/>
  <c r="M23" i="2" s="1"/>
  <c r="J5" i="1"/>
  <c r="M5" i="1" s="1"/>
  <c r="E6" i="1" l="1"/>
  <c r="O7" i="2" s="1"/>
  <c r="E7" i="1"/>
  <c r="O8" i="2" s="1"/>
  <c r="K8" i="1"/>
  <c r="E10" i="1"/>
  <c r="O11" i="2" s="1"/>
  <c r="E11" i="1"/>
  <c r="O12" i="2" s="1"/>
  <c r="E12" i="1"/>
  <c r="O13" i="2" s="1"/>
  <c r="E13" i="1"/>
  <c r="O14" i="2" s="1"/>
  <c r="E14" i="1"/>
  <c r="O15" i="2" s="1"/>
  <c r="E15" i="1"/>
  <c r="O16" i="2" s="1"/>
  <c r="K6" i="1"/>
  <c r="M6" i="1"/>
  <c r="M22" i="2"/>
  <c r="K7" i="1"/>
  <c r="M7" i="1"/>
  <c r="E8" i="1"/>
  <c r="O9" i="2" s="1"/>
  <c r="E17" i="1"/>
  <c r="O18" i="2" s="1"/>
  <c r="K5" i="1"/>
  <c r="M8" i="1"/>
  <c r="E5" i="1"/>
  <c r="L8" i="1" l="1"/>
  <c r="N25" i="2"/>
  <c r="N23" i="2"/>
  <c r="L6" i="1"/>
  <c r="E18" i="1"/>
  <c r="O6" i="2"/>
  <c r="L5" i="1"/>
  <c r="N22" i="2"/>
  <c r="N24" i="2"/>
  <c r="L7" i="1"/>
</calcChain>
</file>

<file path=xl/sharedStrings.xml><?xml version="1.0" encoding="utf-8"?>
<sst xmlns="http://schemas.openxmlformats.org/spreadsheetml/2006/main" count="79" uniqueCount="58">
  <si>
    <t>投资配置数据</t>
  </si>
  <si>
    <t>来源：用户提供的截图；原值未标注单位。占比＝原始数值÷已填写数值合计。</t>
  </si>
  <si>
    <t>原图大类</t>
  </si>
  <si>
    <t>投资品种</t>
  </si>
  <si>
    <t>原始数值</t>
  </si>
  <si>
    <t>制图大类</t>
  </si>
  <si>
    <t>占已填合计</t>
  </si>
  <si>
    <t>说明</t>
  </si>
  <si>
    <t>色号</t>
  </si>
  <si>
    <t>合计</t>
  </si>
  <si>
    <t>占比</t>
  </si>
  <si>
    <t>饼图标签</t>
  </si>
  <si>
    <t>饼图数值</t>
  </si>
  <si>
    <t>科技</t>
  </si>
  <si>
    <t>海力士</t>
  </si>
  <si>
    <t>#2563EB</t>
  </si>
  <si>
    <t>台积电</t>
  </si>
  <si>
    <t>用户补充：1</t>
  </si>
  <si>
    <t>#93C5FD</t>
  </si>
  <si>
    <t>有色</t>
  </si>
  <si>
    <t>中芯国际</t>
  </si>
  <si>
    <t>#60A5FA</t>
  </si>
  <si>
    <t>锂矿</t>
  </si>
  <si>
    <t>科创50ETF</t>
  </si>
  <si>
    <t>#1E40AF</t>
  </si>
  <si>
    <t>现金</t>
  </si>
  <si>
    <t>山金国际</t>
  </si>
  <si>
    <t>#D97706</t>
  </si>
  <si>
    <t>中矿资源</t>
  </si>
  <si>
    <t>#FBBF24</t>
  </si>
  <si>
    <t>紫金矿业</t>
  </si>
  <si>
    <t>#F59E0B</t>
  </si>
  <si>
    <t>中国铝业</t>
  </si>
  <si>
    <t>#FDE68A</t>
  </si>
  <si>
    <t>图表品种标签</t>
  </si>
  <si>
    <t>制图数值</t>
  </si>
  <si>
    <t>赣锋</t>
  </si>
  <si>
    <t>#059669</t>
  </si>
  <si>
    <t>天齐</t>
  </si>
  <si>
    <t>#34D399</t>
  </si>
  <si>
    <t>融捷股份</t>
  </si>
  <si>
    <t>#A7F3D0</t>
  </si>
  <si>
    <t>港股赣锋</t>
  </si>
  <si>
    <t>按用户确认归入锂矿</t>
  </si>
  <si>
    <t>#10B981</t>
  </si>
  <si>
    <t>制图品种名使用“现金”</t>
  </si>
  <si>
    <t>#64748B</t>
  </si>
  <si>
    <t>已填写合计</t>
  </si>
  <si>
    <t>分类：中矿资源、紫金矿业、中国铝业按“有色”归组；赣锋、天齐、融捷股份按“锂矿”归组。</t>
  </si>
  <si>
    <t>用户补充：台积电为1，“港股”改为“港股赣锋”并归入锂矿。占比以所列数值合计为分母。</t>
  </si>
  <si>
    <t>修改C列数值后占比与图表更新。改色：选中色块 → 设置数据点格式 → 填充。</t>
  </si>
  <si>
    <t>投资配置占比</t>
  </si>
  <si>
    <t>四大类分色，色块内列出具体标的；各标的百分比均为占已填写数据合计的比例。</t>
  </si>
  <si>
    <t>大类</t>
  </si>
  <si>
    <t>原值</t>
  </si>
  <si>
    <t>大类汇总</t>
  </si>
  <si>
    <t>数值</t>
  </si>
  <si>
    <t>锂矿扇区较小，标的名称用同色引线标注；所有比例按原始数值计算，未放大扇区。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</si>
</sst>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#"/>
  </numFmts>
  <fonts count="7">
    <font>
      <sz val="11"/>
      <name val="Carlito"/>
    </font>
    <font>
      <sz val="11"/>
      <color rgb="FF172033"/>
      <name val="Microsoft YaHei"/>
      <family val="2"/>
      <charset val="134"/>
    </font>
    <font>
      <b/>
      <sz val="20"/>
      <color rgb="FF172033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rlito"/>
    </font>
    <font>
      <sz val="11"/>
      <name val="Carlito"/>
    </font>
    <font>
      <sz val="9"/>
      <name val="DengXian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93C5FD"/>
      </patternFill>
    </fill>
    <fill>
      <patternFill patternType="solid">
        <fgColor rgb="FF60A5FA"/>
      </patternFill>
    </fill>
    <fill>
      <patternFill patternType="solid">
        <fgColor rgb="FF1E40AF"/>
      </patternFill>
    </fill>
    <fill>
      <patternFill patternType="solid">
        <fgColor rgb="FFD97706"/>
      </patternFill>
    </fill>
    <fill>
      <patternFill patternType="solid">
        <fgColor rgb="FFFBBF24"/>
      </patternFill>
    </fill>
    <fill>
      <patternFill patternType="solid">
        <fgColor rgb="FFF59E0B"/>
      </patternFill>
    </fill>
    <fill>
      <patternFill patternType="solid">
        <fgColor rgb="FFFDE68A"/>
      </patternFill>
    </fill>
    <fill>
      <patternFill patternType="solid">
        <fgColor rgb="FF059669"/>
      </patternFill>
    </fill>
    <fill>
      <patternFill patternType="solid">
        <fgColor rgb="FF34D399"/>
      </patternFill>
    </fill>
    <fill>
      <patternFill patternType="solid">
        <fgColor rgb="FFA7F3D0"/>
      </patternFill>
    </fill>
    <fill>
      <patternFill patternType="solid">
        <fgColor rgb="FF64748B"/>
      </patternFill>
    </fill>
    <fill>
      <patternFill patternType="solid">
        <fgColor rgb="FF24334B"/>
      </patternFill>
    </fill>
    <fill>
      <patternFill patternType="solid">
        <fgColor rgb="FFE8EDF4"/>
      </patternFill>
    </fill>
    <fill>
      <patternFill patternType="solid">
        <fgColor rgb="FFFFFFFF"/>
      </patternFill>
    </fill>
    <fill>
      <patternFill patternType="solid">
        <fgColor rgb="FF10B981"/>
      </patternFill>
    </fill>
    <fill>
      <patternFill patternType="solid">
        <fgColor rgb="FF059669"/>
      </patternFill>
    </fill>
    <fill>
      <patternFill patternType="solid">
        <fgColor rgb="FF2563EB"/>
      </patternFill>
    </fill>
    <fill>
      <patternFill patternType="solid">
        <fgColor rgb="FFD97706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0" xfId="1" applyFont="1" applyFill="1"/>
    <xf numFmtId="0" fontId="1" fillId="3" borderId="0" xfId="1" applyFont="1" applyFill="1"/>
    <xf numFmtId="0" fontId="1" fillId="4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7" borderId="0" xfId="1" applyFont="1" applyFill="1"/>
    <xf numFmtId="0" fontId="1" fillId="8" borderId="0" xfId="1" applyFont="1" applyFill="1"/>
    <xf numFmtId="0" fontId="1" fillId="9" borderId="0" xfId="1" applyFont="1" applyFill="1"/>
    <xf numFmtId="0" fontId="3" fillId="10" borderId="0" xfId="1" applyFont="1" applyFill="1"/>
    <xf numFmtId="0" fontId="1" fillId="11" borderId="0" xfId="1" applyFont="1" applyFill="1"/>
    <xf numFmtId="0" fontId="1" fillId="12" borderId="0" xfId="1" applyFont="1" applyFill="1"/>
    <xf numFmtId="0" fontId="3" fillId="13" borderId="0" xfId="1" applyFont="1" applyFill="1"/>
    <xf numFmtId="0" fontId="3" fillId="14" borderId="0" xfId="1" applyFont="1" applyFill="1"/>
    <xf numFmtId="0" fontId="1" fillId="15" borderId="0" xfId="1" applyFont="1" applyFill="1"/>
    <xf numFmtId="176" fontId="1" fillId="0" borderId="0" xfId="1" applyNumberFormat="1" applyFont="1"/>
    <xf numFmtId="176" fontId="1" fillId="15" borderId="0" xfId="1" applyNumberFormat="1" applyFont="1" applyFill="1"/>
    <xf numFmtId="10" fontId="1" fillId="0" borderId="0" xfId="1" applyNumberFormat="1" applyFont="1"/>
    <xf numFmtId="10" fontId="1" fillId="15" borderId="0" xfId="1" applyNumberFormat="1" applyFont="1" applyFill="1"/>
    <xf numFmtId="176" fontId="1" fillId="16" borderId="0" xfId="1" applyNumberFormat="1" applyFont="1" applyFill="1"/>
    <xf numFmtId="0" fontId="3" fillId="17" borderId="0" xfId="1" applyFont="1" applyFill="1"/>
    <xf numFmtId="0" fontId="3" fillId="18" borderId="0" xfId="1" applyFont="1" applyFill="1"/>
    <xf numFmtId="0" fontId="1" fillId="17" borderId="0" xfId="1" applyFont="1" applyFill="1"/>
    <xf numFmtId="0" fontId="4" fillId="19" borderId="0" xfId="1" applyFont="1" applyFill="1"/>
    <xf numFmtId="0" fontId="4" fillId="20" borderId="0" xfId="1" applyFont="1" applyFill="1"/>
    <xf numFmtId="0" fontId="4" fillId="18" borderId="0" xfId="1" applyFont="1" applyFill="1"/>
    <xf numFmtId="0" fontId="4" fillId="21" borderId="0" xfId="1" applyFont="1" applyFill="1"/>
    <xf numFmtId="10" fontId="0" fillId="0" borderId="0" xfId="1" applyNumberFormat="1" applyFont="1"/>
    <xf numFmtId="0" fontId="1" fillId="18" borderId="0" xfId="1" applyFont="1" applyFill="1"/>
    <xf numFmtId="0" fontId="1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275">
                <a:latin typeface="Microsoft YaHei"/>
                <a:ea typeface="Microsoft YaHei"/>
                <a:cs typeface="Microsoft YaHei"/>
              </a:rPr>
              <a:t>投资配置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投资配置</c:v>
          </c:tx>
          <c:dPt>
            <c:idx val="0"/>
            <c:bubble3D val="0"/>
            <c:spPr>
              <a:solidFill>
                <a:srgbClr val="2563EB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AC7-4A8F-B020-B06799C73808}"/>
              </c:ext>
            </c:extLst>
          </c:dPt>
          <c:dPt>
            <c:idx val="1"/>
            <c:bubble3D val="0"/>
            <c:spPr>
              <a:solidFill>
                <a:srgbClr val="D97706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AC7-4A8F-B020-B06799C73808}"/>
              </c:ext>
            </c:extLst>
          </c:dPt>
          <c:dPt>
            <c:idx val="2"/>
            <c:bubble3D val="0"/>
            <c:spPr>
              <a:solidFill>
                <a:srgbClr val="059669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AC7-4A8F-B020-B06799C73808}"/>
              </c:ext>
            </c:extLst>
          </c:dPt>
          <c:dPt>
            <c:idx val="3"/>
            <c:bubble3D val="0"/>
            <c:spPr>
              <a:solidFill>
                <a:srgbClr val="64748B"/>
              </a:solidFill>
              <a:ln w="2540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AC7-4A8F-B020-B06799C73808}"/>
              </c:ext>
            </c:extLst>
          </c:dPt>
          <c:dLbls>
            <c:dLbl>
              <c:idx val="2"/>
              <c:spPr>
                <a:solidFill>
                  <a:srgbClr val="FFFFFF"/>
                </a:solidFill>
              </c:spPr>
              <c:txPr>
                <a:bodyPr/>
                <a:lstStyle/>
                <a:p>
                  <a:pPr>
                    <a:defRPr sz="1100" b="1">
                      <a:solidFill>
                        <a:srgbClr val="047857"/>
                      </a:solidFill>
                      <a:latin typeface="Microsoft YaHei"/>
                      <a:ea typeface="Microsoft YaHei"/>
                    </a:defRPr>
                  </a:pPr>
                  <a:endParaRPr lang="zh-CN"/>
                </a:p>
              </c:txPr>
              <c:dLblPos val="outEnd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C7-4A8F-B020-B06799C73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FFFFFF"/>
                    </a:solidFill>
                    <a:latin typeface="Microsoft YaHei"/>
                    <a:ea typeface="Microsoft YaHei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原始数据!$L$5:$L$8</c:f>
              <c:strCache>
                <c:ptCount val="4"/>
                <c:pt idx="0">
                  <c:v>科技 17.20%
海力士 7.64%
台积电 1.27%
中芯国际 0.00%
科创50ETF 8.28%</c:v>
                </c:pt>
                <c:pt idx="1">
                  <c:v>有色 38.98%
山金国际 17.20%
中矿资源 10.83%
紫金矿业 8.41%
中国铝业 2.55%</c:v>
                </c:pt>
                <c:pt idx="2">
                  <c:v>锂矿 3.06%
赣锋 0.51%
天齐 0.51%
融捷股份 0.76%
港股赣锋 1.27%</c:v>
                </c:pt>
                <c:pt idx="3">
                  <c:v>现金 40.76%</c:v>
                </c:pt>
              </c:strCache>
            </c:strRef>
          </c:cat>
          <c:val>
            <c:numRef>
              <c:f>原始数据!$M$5:$M$8</c:f>
              <c:numCache>
                <c:formatCode>General</c:formatCode>
                <c:ptCount val="4"/>
                <c:pt idx="0">
                  <c:v>13.5</c:v>
                </c:pt>
                <c:pt idx="1">
                  <c:v>30.6</c:v>
                </c:pt>
                <c:pt idx="2">
                  <c:v>2.4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C7-4A8F-B020-B06799C73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334375" cy="7429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tabSelected="1" workbookViewId="0">
      <selection activeCell="L12" sqref="L12"/>
    </sheetView>
  </sheetViews>
  <sheetFormatPr defaultRowHeight="13.5"/>
  <cols>
    <col min="1" max="1" width="15" customWidth="1"/>
    <col min="2" max="2" width="19" customWidth="1"/>
    <col min="3" max="5" width="16" customWidth="1"/>
    <col min="6" max="6" width="30" customWidth="1"/>
    <col min="7" max="7" width="13" customWidth="1"/>
    <col min="8" max="8" width="3" customWidth="1"/>
    <col min="9" max="11" width="19" customWidth="1"/>
    <col min="12" max="12" width="36" customWidth="1"/>
    <col min="13" max="13" width="14" customWidth="1"/>
  </cols>
  <sheetData>
    <row r="1" spans="1:16" ht="25.0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0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"/>
      <c r="I4" s="16" t="s">
        <v>5</v>
      </c>
      <c r="J4" s="16" t="s">
        <v>9</v>
      </c>
      <c r="K4" s="16" t="s">
        <v>10</v>
      </c>
      <c r="L4" s="1" t="s">
        <v>11</v>
      </c>
      <c r="M4" s="1" t="s">
        <v>12</v>
      </c>
      <c r="N4" s="1"/>
      <c r="O4" s="1"/>
      <c r="P4" s="1"/>
    </row>
    <row r="5" spans="1:16" ht="25.05" customHeight="1">
      <c r="A5" s="1" t="s">
        <v>13</v>
      </c>
      <c r="B5" s="1" t="s">
        <v>14</v>
      </c>
      <c r="C5" s="17">
        <v>6</v>
      </c>
      <c r="D5" s="3" t="s">
        <v>13</v>
      </c>
      <c r="E5" s="19">
        <f t="shared" ref="E5:E17" si="0">IF(C5="","",C5/$C$18)</f>
        <v>7.6433121019108277E-2</v>
      </c>
      <c r="F5" s="1"/>
      <c r="G5" s="3" t="s">
        <v>15</v>
      </c>
      <c r="H5" s="1"/>
      <c r="I5" s="1" t="s">
        <v>13</v>
      </c>
      <c r="J5" s="1">
        <f>SUMIF(D5:D17,I5,C5:C17)</f>
        <v>13.5</v>
      </c>
      <c r="K5" s="19">
        <f>J5/$C$18</f>
        <v>0.17197452229299362</v>
      </c>
      <c r="L5" s="1" t="str">
        <f>I5&amp;" "&amp;TEXT(K5,"0.00%")&amp;CHAR(10)&amp;"海力士 "&amp;IF(C5="","待补充",TEXT(E5,"0.00%"))&amp;CHAR(10)&amp;"台积电 "&amp;IF(C6="","待补充",TEXT(E6,"0.00%"))&amp;CHAR(10)&amp;"中芯国际 "&amp;IF(C7="","待补充",TEXT(E7,"0.00%"))&amp;CHAR(10)&amp;"科创50ETF "&amp;IF(C8="","待补充",TEXT(E8,"0.00%"))</f>
        <v>科技 17.20%
海力士 7.64%
台积电 1.27%
中芯国际 0.00%
科创50ETF 8.28%</v>
      </c>
      <c r="M5" s="1">
        <f>J5</f>
        <v>13.5</v>
      </c>
      <c r="N5" s="1"/>
      <c r="O5" s="1"/>
      <c r="P5" s="1"/>
    </row>
    <row r="6" spans="1:16" ht="25.05" customHeight="1">
      <c r="A6" s="1"/>
      <c r="B6" s="1" t="s">
        <v>16</v>
      </c>
      <c r="C6" s="21">
        <v>1</v>
      </c>
      <c r="D6" s="3" t="s">
        <v>13</v>
      </c>
      <c r="E6" s="19">
        <f t="shared" si="0"/>
        <v>1.2738853503184714E-2</v>
      </c>
      <c r="F6" s="1" t="s">
        <v>17</v>
      </c>
      <c r="G6" s="4" t="s">
        <v>18</v>
      </c>
      <c r="H6" s="1"/>
      <c r="I6" s="1" t="s">
        <v>19</v>
      </c>
      <c r="J6" s="1">
        <f>SUMIF(D5:D17,I6,C5:C17)</f>
        <v>30.6</v>
      </c>
      <c r="K6" s="19">
        <f>J6/$C$18</f>
        <v>0.38980891719745225</v>
      </c>
      <c r="L6" s="1" t="str">
        <f>I6&amp;" "&amp;TEXT(K6,"0.00%")&amp;CHAR(10)&amp;"山金国际 "&amp;IF(C9="","待补充",TEXT(E9,"0.00%"))&amp;CHAR(10)&amp;"中矿资源 "&amp;IF(C10="","待补充",TEXT(E10,"0.00%"))&amp;CHAR(10)&amp;"紫金矿业 "&amp;IF(C11="","待补充",TEXT(E11,"0.00%"))&amp;CHAR(10)&amp;"中国铝业 "&amp;IF(C12="","待补充",TEXT(E12,"0.00%"))</f>
        <v>有色 38.98%
山金国际 17.20%
中矿资源 10.83%
紫金矿业 8.41%
中国铝业 2.55%</v>
      </c>
      <c r="M6" s="1">
        <f>J6</f>
        <v>30.6</v>
      </c>
      <c r="N6" s="1"/>
      <c r="O6" s="1"/>
      <c r="P6" s="1"/>
    </row>
    <row r="7" spans="1:16" ht="25.05" customHeight="1">
      <c r="A7" s="1"/>
      <c r="B7" s="1" t="s">
        <v>20</v>
      </c>
      <c r="C7" s="17">
        <v>0</v>
      </c>
      <c r="D7" s="3" t="s">
        <v>13</v>
      </c>
      <c r="E7" s="19">
        <f t="shared" si="0"/>
        <v>0</v>
      </c>
      <c r="F7" s="1"/>
      <c r="G7" s="5" t="s">
        <v>21</v>
      </c>
      <c r="H7" s="1"/>
      <c r="I7" s="1" t="s">
        <v>22</v>
      </c>
      <c r="J7" s="1">
        <f>SUMIF(D5:D17,I7,C5:C17)</f>
        <v>2.4</v>
      </c>
      <c r="K7" s="19">
        <f>J7/$C$18</f>
        <v>3.0573248407643312E-2</v>
      </c>
      <c r="L7" s="1" t="str">
        <f>I7&amp;" "&amp;TEXT(K7,"0.00%")&amp;CHAR(10)&amp;"赣锋 "&amp;IF(C13="","待补充",TEXT(E13,"0.00%"))&amp;CHAR(10)&amp;"天齐 "&amp;IF(C14="","待补充",TEXT(E14,"0.00%"))&amp;CHAR(10)&amp;"融捷股份 "&amp;IF(C15="","待补充",TEXT(E15,"0.00%"))&amp;CHAR(10)&amp;"港股赣锋 "&amp;IF(C16="","待补充",TEXT(E16,"0.00%"))</f>
        <v>锂矿 3.06%
赣锋 0.51%
天齐 0.51%
融捷股份 0.76%
港股赣锋 1.27%</v>
      </c>
      <c r="M7" s="1">
        <f>J7</f>
        <v>2.4</v>
      </c>
      <c r="N7" s="1"/>
      <c r="O7" s="1"/>
      <c r="P7" s="1"/>
    </row>
    <row r="8" spans="1:16" ht="25.05" customHeight="1">
      <c r="A8" s="1"/>
      <c r="B8" s="1" t="s">
        <v>23</v>
      </c>
      <c r="C8" s="17">
        <v>6.5</v>
      </c>
      <c r="D8" s="3" t="s">
        <v>13</v>
      </c>
      <c r="E8" s="19">
        <f t="shared" si="0"/>
        <v>8.2802547770700632E-2</v>
      </c>
      <c r="F8" s="1"/>
      <c r="G8" s="6" t="s">
        <v>24</v>
      </c>
      <c r="H8" s="1"/>
      <c r="I8" s="1" t="s">
        <v>25</v>
      </c>
      <c r="J8" s="1">
        <f>SUMIF(D5:D17,I8,C5:C17)</f>
        <v>32</v>
      </c>
      <c r="K8" s="19">
        <f>J8/$C$18</f>
        <v>0.40764331210191085</v>
      </c>
      <c r="L8" s="1" t="str">
        <f>I8&amp;" "&amp;TEXT(K8,"0.00%")</f>
        <v>现金 40.76%</v>
      </c>
      <c r="M8" s="1">
        <f>J8</f>
        <v>32</v>
      </c>
      <c r="N8" s="1"/>
      <c r="O8" s="1"/>
      <c r="P8" s="1"/>
    </row>
    <row r="9" spans="1:16" ht="25.05" customHeight="1">
      <c r="A9" s="1" t="s">
        <v>19</v>
      </c>
      <c r="B9" s="1" t="s">
        <v>26</v>
      </c>
      <c r="C9" s="17">
        <v>13.5</v>
      </c>
      <c r="D9" s="7" t="s">
        <v>19</v>
      </c>
      <c r="E9" s="19">
        <f t="shared" si="0"/>
        <v>0.17197452229299362</v>
      </c>
      <c r="F9" s="1"/>
      <c r="G9" s="7" t="s">
        <v>27</v>
      </c>
      <c r="H9" s="1"/>
      <c r="I9" s="1"/>
      <c r="J9" s="1"/>
      <c r="K9" s="19"/>
      <c r="L9" s="1"/>
      <c r="M9" s="1"/>
      <c r="N9" s="1"/>
      <c r="O9" s="1"/>
      <c r="P9" s="1"/>
    </row>
    <row r="10" spans="1:16" ht="25.05" customHeight="1">
      <c r="A10" s="1"/>
      <c r="B10" s="1" t="s">
        <v>28</v>
      </c>
      <c r="C10" s="17">
        <v>8.5</v>
      </c>
      <c r="D10" s="7" t="s">
        <v>19</v>
      </c>
      <c r="E10" s="19">
        <f t="shared" si="0"/>
        <v>0.10828025477707007</v>
      </c>
      <c r="F10" s="1"/>
      <c r="G10" s="8" t="s">
        <v>29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 ht="25.05" customHeight="1">
      <c r="A11" s="1"/>
      <c r="B11" s="1" t="s">
        <v>30</v>
      </c>
      <c r="C11" s="17">
        <v>6.6</v>
      </c>
      <c r="D11" s="7" t="s">
        <v>19</v>
      </c>
      <c r="E11" s="19">
        <f t="shared" si="0"/>
        <v>8.4076433121019103E-2</v>
      </c>
      <c r="F11" s="1"/>
      <c r="G11" s="9" t="s">
        <v>31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ht="25.05" customHeight="1">
      <c r="A12" s="1"/>
      <c r="B12" s="1" t="s">
        <v>32</v>
      </c>
      <c r="C12" s="17">
        <v>2</v>
      </c>
      <c r="D12" s="7" t="s">
        <v>19</v>
      </c>
      <c r="E12" s="19">
        <f t="shared" si="0"/>
        <v>2.5477707006369428E-2</v>
      </c>
      <c r="F12" s="1"/>
      <c r="G12" s="10" t="s">
        <v>33</v>
      </c>
      <c r="H12" s="1"/>
      <c r="I12" s="16" t="s">
        <v>34</v>
      </c>
      <c r="J12" s="16" t="s">
        <v>35</v>
      </c>
      <c r="K12" s="1"/>
      <c r="L12" s="1"/>
      <c r="M12" s="1"/>
      <c r="N12" s="1"/>
      <c r="O12" s="1"/>
      <c r="P12" s="1"/>
    </row>
    <row r="13" spans="1:16" ht="25.05" customHeight="1">
      <c r="A13" s="1" t="s">
        <v>22</v>
      </c>
      <c r="B13" s="1" t="s">
        <v>36</v>
      </c>
      <c r="C13" s="17">
        <v>0.4</v>
      </c>
      <c r="D13" s="11" t="s">
        <v>22</v>
      </c>
      <c r="E13" s="19">
        <f t="shared" si="0"/>
        <v>5.095541401273886E-3</v>
      </c>
      <c r="F13" s="1"/>
      <c r="G13" s="11" t="s">
        <v>37</v>
      </c>
      <c r="H13" s="1"/>
      <c r="I13" s="1" t="str">
        <f t="shared" ref="I13:I25" si="1">IF(B5="",A5,B5)</f>
        <v>海力士</v>
      </c>
      <c r="J13" s="1">
        <f t="shared" ref="J13:J25" si="2">IF(C5="","",C5)</f>
        <v>6</v>
      </c>
      <c r="K13" s="1"/>
      <c r="L13" s="1"/>
      <c r="M13" s="1"/>
      <c r="N13" s="1"/>
      <c r="O13" s="1"/>
      <c r="P13" s="1"/>
    </row>
    <row r="14" spans="1:16" ht="25.05" customHeight="1">
      <c r="A14" s="1"/>
      <c r="B14" s="1" t="s">
        <v>38</v>
      </c>
      <c r="C14" s="17">
        <v>0.4</v>
      </c>
      <c r="D14" s="11" t="s">
        <v>22</v>
      </c>
      <c r="E14" s="19">
        <f t="shared" si="0"/>
        <v>5.095541401273886E-3</v>
      </c>
      <c r="F14" s="1"/>
      <c r="G14" s="12" t="s">
        <v>39</v>
      </c>
      <c r="H14" s="1"/>
      <c r="I14" s="1" t="str">
        <f t="shared" si="1"/>
        <v>台积电</v>
      </c>
      <c r="J14" s="1">
        <f t="shared" si="2"/>
        <v>1</v>
      </c>
      <c r="K14" s="1"/>
      <c r="L14" s="1"/>
      <c r="M14" s="1"/>
      <c r="N14" s="1"/>
      <c r="O14" s="1"/>
      <c r="P14" s="1"/>
    </row>
    <row r="15" spans="1:16" ht="25.05" customHeight="1">
      <c r="A15" s="1"/>
      <c r="B15" s="1" t="s">
        <v>40</v>
      </c>
      <c r="C15" s="17">
        <v>0.6</v>
      </c>
      <c r="D15" s="11" t="s">
        <v>22</v>
      </c>
      <c r="E15" s="19">
        <f t="shared" si="0"/>
        <v>7.6433121019108281E-3</v>
      </c>
      <c r="F15" s="1"/>
      <c r="G15" s="13" t="s">
        <v>41</v>
      </c>
      <c r="H15" s="1"/>
      <c r="I15" s="1" t="str">
        <f t="shared" si="1"/>
        <v>中芯国际</v>
      </c>
      <c r="J15" s="1">
        <f t="shared" si="2"/>
        <v>0</v>
      </c>
      <c r="K15" s="1"/>
      <c r="L15" s="1"/>
      <c r="M15" s="1"/>
      <c r="N15" s="1"/>
      <c r="O15" s="1"/>
      <c r="P15" s="1"/>
    </row>
    <row r="16" spans="1:16" ht="25.05" customHeight="1">
      <c r="A16" s="1"/>
      <c r="B16" s="1" t="s">
        <v>42</v>
      </c>
      <c r="C16" s="17">
        <v>1</v>
      </c>
      <c r="D16" s="23" t="s">
        <v>22</v>
      </c>
      <c r="E16" s="19">
        <f t="shared" si="0"/>
        <v>1.2738853503184714E-2</v>
      </c>
      <c r="F16" s="1" t="s">
        <v>43</v>
      </c>
      <c r="G16" s="22" t="s">
        <v>44</v>
      </c>
      <c r="H16" s="1"/>
      <c r="I16" s="1" t="str">
        <f t="shared" si="1"/>
        <v>科创50ETF</v>
      </c>
      <c r="J16" s="1">
        <f t="shared" si="2"/>
        <v>6.5</v>
      </c>
      <c r="K16" s="1"/>
      <c r="L16" s="1"/>
      <c r="M16" s="1"/>
      <c r="N16" s="1"/>
      <c r="O16" s="1"/>
      <c r="P16" s="1"/>
    </row>
    <row r="17" spans="1:16" ht="25.05" customHeight="1">
      <c r="A17" s="1" t="s">
        <v>25</v>
      </c>
      <c r="B17" s="1"/>
      <c r="C17" s="17">
        <v>32</v>
      </c>
      <c r="D17" s="14" t="s">
        <v>25</v>
      </c>
      <c r="E17" s="19">
        <f t="shared" si="0"/>
        <v>0.40764331210191085</v>
      </c>
      <c r="F17" s="1" t="s">
        <v>45</v>
      </c>
      <c r="G17" s="14" t="s">
        <v>46</v>
      </c>
      <c r="H17" s="1"/>
      <c r="I17" s="1" t="str">
        <f t="shared" si="1"/>
        <v>山金国际</v>
      </c>
      <c r="J17" s="1">
        <f t="shared" si="2"/>
        <v>13.5</v>
      </c>
      <c r="K17" s="1"/>
      <c r="L17" s="1"/>
      <c r="M17" s="1"/>
      <c r="N17" s="1"/>
      <c r="O17" s="1"/>
      <c r="P17" s="1"/>
    </row>
    <row r="18" spans="1:16" ht="25.05" customHeight="1">
      <c r="A18" s="16" t="s">
        <v>47</v>
      </c>
      <c r="B18" s="16"/>
      <c r="C18" s="18">
        <f>SUM(C5:C17)</f>
        <v>78.5</v>
      </c>
      <c r="D18" s="16"/>
      <c r="E18" s="20">
        <f>SUM(E5:E17)</f>
        <v>1</v>
      </c>
      <c r="F18" s="16"/>
      <c r="G18" s="16"/>
      <c r="H18" s="1"/>
      <c r="I18" s="1" t="str">
        <f t="shared" si="1"/>
        <v>中矿资源</v>
      </c>
      <c r="J18" s="1">
        <f t="shared" si="2"/>
        <v>8.5</v>
      </c>
      <c r="K18" s="1"/>
      <c r="L18" s="1"/>
      <c r="M18" s="1"/>
      <c r="N18" s="1"/>
      <c r="O18" s="1"/>
      <c r="P18" s="1"/>
    </row>
    <row r="19" spans="1:16" ht="25.05" customHeight="1">
      <c r="A19" s="1"/>
      <c r="B19" s="1"/>
      <c r="C19" s="1"/>
      <c r="D19" s="1"/>
      <c r="E19" s="1"/>
      <c r="F19" s="1"/>
      <c r="G19" s="1"/>
      <c r="H19" s="1"/>
      <c r="I19" s="1" t="str">
        <f t="shared" si="1"/>
        <v>紫金矿业</v>
      </c>
      <c r="J19" s="1">
        <f t="shared" si="2"/>
        <v>6.6</v>
      </c>
      <c r="K19" s="1"/>
      <c r="L19" s="1"/>
      <c r="M19" s="1"/>
      <c r="N19" s="1"/>
      <c r="O19" s="1"/>
      <c r="P19" s="1"/>
    </row>
    <row r="20" spans="1:16" ht="38" customHeight="1">
      <c r="A20" s="31" t="s">
        <v>48</v>
      </c>
      <c r="B20" s="31"/>
      <c r="C20" s="31"/>
      <c r="D20" s="31"/>
      <c r="E20" s="31"/>
      <c r="F20" s="31"/>
      <c r="G20" s="31"/>
      <c r="H20" s="1"/>
      <c r="I20" s="1" t="str">
        <f t="shared" si="1"/>
        <v>中国铝业</v>
      </c>
      <c r="J20" s="1">
        <f t="shared" si="2"/>
        <v>2</v>
      </c>
      <c r="K20" s="1"/>
      <c r="L20" s="1"/>
      <c r="M20" s="1"/>
      <c r="N20" s="1"/>
      <c r="O20" s="1"/>
      <c r="P20" s="1"/>
    </row>
    <row r="21" spans="1:16" ht="38" customHeight="1">
      <c r="A21" s="31" t="s">
        <v>49</v>
      </c>
      <c r="B21" s="31"/>
      <c r="C21" s="31"/>
      <c r="D21" s="31"/>
      <c r="E21" s="31"/>
      <c r="F21" s="31"/>
      <c r="G21" s="31"/>
      <c r="H21" s="1"/>
      <c r="I21" s="1" t="str">
        <f t="shared" si="1"/>
        <v>赣锋</v>
      </c>
      <c r="J21" s="1">
        <f t="shared" si="2"/>
        <v>0.4</v>
      </c>
      <c r="K21" s="1"/>
      <c r="L21" s="1"/>
      <c r="M21" s="1"/>
      <c r="N21" s="1"/>
      <c r="O21" s="1"/>
      <c r="P21" s="1"/>
    </row>
    <row r="22" spans="1:16" ht="38" customHeight="1">
      <c r="A22" s="31" t="s">
        <v>50</v>
      </c>
      <c r="B22" s="31"/>
      <c r="C22" s="31"/>
      <c r="D22" s="31"/>
      <c r="E22" s="31"/>
      <c r="F22" s="31"/>
      <c r="G22" s="31"/>
      <c r="H22" s="1"/>
      <c r="I22" s="1" t="str">
        <f t="shared" si="1"/>
        <v>天齐</v>
      </c>
      <c r="J22" s="1">
        <f t="shared" si="2"/>
        <v>0.4</v>
      </c>
      <c r="K22" s="1"/>
      <c r="L22" s="1"/>
      <c r="M22" s="1"/>
      <c r="N22" s="1"/>
      <c r="O22" s="1"/>
      <c r="P22" s="1"/>
    </row>
    <row r="23" spans="1:16" ht="25.05" customHeight="1">
      <c r="A23" s="1"/>
      <c r="B23" s="1"/>
      <c r="C23" s="1"/>
      <c r="D23" s="1"/>
      <c r="E23" s="1"/>
      <c r="F23" s="1"/>
      <c r="G23" s="1"/>
      <c r="H23" s="1"/>
      <c r="I23" s="1" t="str">
        <f t="shared" si="1"/>
        <v>融捷股份</v>
      </c>
      <c r="J23" s="1">
        <f t="shared" si="2"/>
        <v>0.6</v>
      </c>
      <c r="K23" s="1"/>
      <c r="L23" s="1"/>
      <c r="M23" s="1"/>
      <c r="N23" s="1"/>
      <c r="O23" s="1"/>
      <c r="P23" s="1"/>
    </row>
    <row r="24" spans="1:16" ht="25.05" customHeight="1">
      <c r="A24" s="1"/>
      <c r="B24" s="1"/>
      <c r="C24" s="1"/>
      <c r="D24" s="1"/>
      <c r="E24" s="1"/>
      <c r="F24" s="1"/>
      <c r="G24" s="1"/>
      <c r="H24" s="1"/>
      <c r="I24" s="1" t="str">
        <f t="shared" si="1"/>
        <v>港股赣锋</v>
      </c>
      <c r="J24" s="1">
        <f t="shared" si="2"/>
        <v>1</v>
      </c>
      <c r="K24" s="1"/>
      <c r="L24" s="1"/>
      <c r="M24" s="1"/>
      <c r="N24" s="1"/>
      <c r="O24" s="1"/>
      <c r="P24" s="1"/>
    </row>
    <row r="25" spans="1:16" ht="25.05" customHeight="1">
      <c r="A25" s="1"/>
      <c r="B25" s="1"/>
      <c r="C25" s="1"/>
      <c r="D25" s="1"/>
      <c r="E25" s="1"/>
      <c r="F25" s="1"/>
      <c r="G25" s="1"/>
      <c r="H25" s="1"/>
      <c r="I25" s="1" t="str">
        <f t="shared" si="1"/>
        <v>现金</v>
      </c>
      <c r="J25" s="1">
        <f t="shared" si="2"/>
        <v>32</v>
      </c>
      <c r="K25" s="1"/>
      <c r="L25" s="1"/>
      <c r="M25" s="1"/>
      <c r="N25" s="1"/>
      <c r="O25" s="1"/>
      <c r="P25" s="1"/>
    </row>
    <row r="26" spans="1:16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mergeCells count="3">
    <mergeCell ref="A20:G20"/>
    <mergeCell ref="A21:G21"/>
    <mergeCell ref="A22:G2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topLeftCell="A7" workbookViewId="0">
      <selection activeCell="S25" sqref="S25"/>
    </sheetView>
  </sheetViews>
  <sheetFormatPr defaultRowHeight="13.5"/>
  <cols>
    <col min="1" max="11" width="11" customWidth="1"/>
    <col min="12" max="12" width="17" customWidth="1"/>
    <col min="13" max="13" width="19" customWidth="1"/>
    <col min="14" max="14" width="9" customWidth="1"/>
    <col min="15" max="16" width="11" customWidth="1"/>
  </cols>
  <sheetData>
    <row r="1" spans="1:16" ht="25.05" customHeight="1">
      <c r="A1" s="2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05" customHeight="1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1" t="str">
        <f>"按所列数值合计"&amp;TEXT(原始数据!C18,"0.0#")&amp;"计算；港股赣锋归入锂矿。"</f>
        <v>按所列数值合计78.5计算；港股赣锋归入锂矿。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5" t="s">
        <v>53</v>
      </c>
      <c r="M5" s="15" t="s">
        <v>3</v>
      </c>
      <c r="N5" s="15" t="s">
        <v>54</v>
      </c>
      <c r="O5" s="15" t="s">
        <v>10</v>
      </c>
      <c r="P5" s="1"/>
    </row>
    <row r="6" spans="1:16" ht="25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 t="str">
        <f>原始数据!D5</f>
        <v>科技</v>
      </c>
      <c r="M6" s="3" t="str">
        <f>原始数据!I13</f>
        <v>海力士</v>
      </c>
      <c r="N6" s="17">
        <f>IF(原始数据!C5="","",原始数据!C5)</f>
        <v>6</v>
      </c>
      <c r="O6" s="19">
        <f>IF(原始数据!E5="","",原始数据!E5)</f>
        <v>7.6433121019108277E-2</v>
      </c>
      <c r="P6" s="1"/>
    </row>
    <row r="7" spans="1:16" ht="25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 t="str">
        <f>原始数据!D6</f>
        <v>科技</v>
      </c>
      <c r="M7" s="4" t="str">
        <f>原始数据!I14</f>
        <v>台积电</v>
      </c>
      <c r="N7" s="17">
        <f>IF(原始数据!C6="","",原始数据!C6)</f>
        <v>1</v>
      </c>
      <c r="O7" s="19">
        <f>IF(原始数据!E6="","",原始数据!E6)</f>
        <v>1.2738853503184714E-2</v>
      </c>
      <c r="P7" s="1"/>
    </row>
    <row r="8" spans="1:16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 t="str">
        <f>原始数据!D7</f>
        <v>科技</v>
      </c>
      <c r="M8" s="5" t="str">
        <f>原始数据!I15</f>
        <v>中芯国际</v>
      </c>
      <c r="N8" s="17">
        <f>IF(原始数据!C7="","",原始数据!C7)</f>
        <v>0</v>
      </c>
      <c r="O8" s="19">
        <f>IF(原始数据!E7="","",原始数据!E7)</f>
        <v>0</v>
      </c>
      <c r="P8" s="1"/>
    </row>
    <row r="9" spans="1:16" ht="25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tr">
        <f>原始数据!D8</f>
        <v>科技</v>
      </c>
      <c r="M9" s="6" t="str">
        <f>原始数据!I16</f>
        <v>科创50ETF</v>
      </c>
      <c r="N9" s="17">
        <f>IF(原始数据!C8="","",原始数据!C8)</f>
        <v>6.5</v>
      </c>
      <c r="O9" s="19">
        <f>IF(原始数据!E8="","",原始数据!E8)</f>
        <v>8.2802547770700632E-2</v>
      </c>
      <c r="P9" s="1"/>
    </row>
    <row r="10" spans="1:16" ht="25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 t="str">
        <f>原始数据!D9</f>
        <v>有色</v>
      </c>
      <c r="M10" s="7" t="str">
        <f>原始数据!I17</f>
        <v>山金国际</v>
      </c>
      <c r="N10" s="17">
        <f>IF(原始数据!C9="","",原始数据!C9)</f>
        <v>13.5</v>
      </c>
      <c r="O10" s="19">
        <f>IF(原始数据!E9="","",原始数据!E9)</f>
        <v>0.17197452229299362</v>
      </c>
      <c r="P10" s="1"/>
    </row>
    <row r="11" spans="1:16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 t="str">
        <f>原始数据!D10</f>
        <v>有色</v>
      </c>
      <c r="M11" s="8" t="str">
        <f>原始数据!I18</f>
        <v>中矿资源</v>
      </c>
      <c r="N11" s="17">
        <f>IF(原始数据!C10="","",原始数据!C10)</f>
        <v>8.5</v>
      </c>
      <c r="O11" s="19">
        <f>IF(原始数据!E10="","",原始数据!E10)</f>
        <v>0.10828025477707007</v>
      </c>
      <c r="P11" s="1"/>
    </row>
    <row r="12" spans="1:16" ht="25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 t="str">
        <f>原始数据!D11</f>
        <v>有色</v>
      </c>
      <c r="M12" s="9" t="str">
        <f>原始数据!I19</f>
        <v>紫金矿业</v>
      </c>
      <c r="N12" s="17">
        <f>IF(原始数据!C11="","",原始数据!C11)</f>
        <v>6.6</v>
      </c>
      <c r="O12" s="19">
        <f>IF(原始数据!E11="","",原始数据!E11)</f>
        <v>8.4076433121019103E-2</v>
      </c>
      <c r="P12" s="1"/>
    </row>
    <row r="13" spans="1:16" ht="25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 t="str">
        <f>原始数据!D12</f>
        <v>有色</v>
      </c>
      <c r="M13" s="10" t="str">
        <f>原始数据!I20</f>
        <v>中国铝业</v>
      </c>
      <c r="N13" s="17">
        <f>IF(原始数据!C12="","",原始数据!C12)</f>
        <v>2</v>
      </c>
      <c r="O13" s="19">
        <f>IF(原始数据!E12="","",原始数据!E12)</f>
        <v>2.5477707006369428E-2</v>
      </c>
      <c r="P13" s="1"/>
    </row>
    <row r="14" spans="1:16" ht="25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tr">
        <f>原始数据!D13</f>
        <v>锂矿</v>
      </c>
      <c r="M14" s="11" t="str">
        <f>原始数据!I21</f>
        <v>赣锋</v>
      </c>
      <c r="N14" s="17">
        <f>IF(原始数据!C13="","",原始数据!C13)</f>
        <v>0.4</v>
      </c>
      <c r="O14" s="19">
        <f>IF(原始数据!E13="","",原始数据!E13)</f>
        <v>5.095541401273886E-3</v>
      </c>
      <c r="P14" s="1"/>
    </row>
    <row r="15" spans="1:16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tr">
        <f>原始数据!D14</f>
        <v>锂矿</v>
      </c>
      <c r="M15" s="12" t="str">
        <f>原始数据!I22</f>
        <v>天齐</v>
      </c>
      <c r="N15" s="17">
        <f>IF(原始数据!C14="","",原始数据!C14)</f>
        <v>0.4</v>
      </c>
      <c r="O15" s="19">
        <f>IF(原始数据!E14="","",原始数据!E14)</f>
        <v>5.095541401273886E-3</v>
      </c>
      <c r="P15" s="1"/>
    </row>
    <row r="16" spans="1:16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 t="str">
        <f>原始数据!D15</f>
        <v>锂矿</v>
      </c>
      <c r="M16" s="13" t="str">
        <f>原始数据!I23</f>
        <v>融捷股份</v>
      </c>
      <c r="N16" s="17">
        <f>IF(原始数据!C15="","",原始数据!C15)</f>
        <v>0.6</v>
      </c>
      <c r="O16" s="19">
        <f>IF(原始数据!E15="","",原始数据!E15)</f>
        <v>7.6433121019108281E-3</v>
      </c>
      <c r="P16" s="1"/>
    </row>
    <row r="17" spans="1:16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30" t="str">
        <f>原始数据!D16</f>
        <v>锂矿</v>
      </c>
      <c r="M17" s="24" t="str">
        <f>原始数据!I24</f>
        <v>港股赣锋</v>
      </c>
      <c r="N17" s="17">
        <f>IF(原始数据!C16="","",原始数据!C16)</f>
        <v>1</v>
      </c>
      <c r="O17" s="19">
        <f>IF(原始数据!E16="","",原始数据!E16)</f>
        <v>1.2738853503184714E-2</v>
      </c>
      <c r="P17" s="1"/>
    </row>
    <row r="18" spans="1:16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 t="str">
        <f>原始数据!D17</f>
        <v>现金</v>
      </c>
      <c r="M18" s="14" t="str">
        <f>原始数据!I25</f>
        <v>现金</v>
      </c>
      <c r="N18" s="17">
        <f>IF(原始数据!C17="","",原始数据!C17)</f>
        <v>32</v>
      </c>
      <c r="O18" s="19">
        <f>IF(原始数据!E17="","",原始数据!E17)</f>
        <v>0.40764331210191085</v>
      </c>
      <c r="P18" s="1"/>
    </row>
    <row r="19" spans="1:16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 t="s">
        <v>55</v>
      </c>
      <c r="M21" s="1" t="s">
        <v>56</v>
      </c>
      <c r="N21" s="1" t="s">
        <v>10</v>
      </c>
      <c r="O21" s="1"/>
      <c r="P21" s="1"/>
    </row>
    <row r="22" spans="1:16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5" t="str">
        <f>原始数据!I5</f>
        <v>科技</v>
      </c>
      <c r="M22">
        <f>原始数据!J5</f>
        <v>13.5</v>
      </c>
      <c r="N22" s="29">
        <f>原始数据!K5</f>
        <v>0.17197452229299362</v>
      </c>
      <c r="O22" s="1"/>
      <c r="P22" s="1"/>
    </row>
    <row r="23" spans="1:16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6" t="str">
        <f>原始数据!I6</f>
        <v>有色</v>
      </c>
      <c r="M23">
        <f>原始数据!J6</f>
        <v>30.6</v>
      </c>
      <c r="N23" s="29">
        <f>原始数据!K6</f>
        <v>0.38980891719745225</v>
      </c>
      <c r="O23" s="1"/>
      <c r="P23" s="1"/>
    </row>
    <row r="24" spans="1:16" ht="25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7" t="str">
        <f>原始数据!I7</f>
        <v>锂矿</v>
      </c>
      <c r="M24">
        <f>原始数据!J7</f>
        <v>2.4</v>
      </c>
      <c r="N24" s="29">
        <f>原始数据!K7</f>
        <v>3.0573248407643312E-2</v>
      </c>
      <c r="O24" s="1"/>
      <c r="P24" s="1"/>
    </row>
    <row r="25" spans="1:16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8" t="str">
        <f>原始数据!I8</f>
        <v>现金</v>
      </c>
      <c r="M25">
        <f>原始数据!J8</f>
        <v>32</v>
      </c>
      <c r="N25" s="29">
        <f>原始数据!K8</f>
        <v>0.40764331210191085</v>
      </c>
      <c r="O25" s="1"/>
      <c r="P25" s="1"/>
    </row>
    <row r="26" spans="1:16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O26" s="1"/>
      <c r="P26" s="1"/>
    </row>
    <row r="27" spans="1:16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05" customHeight="1">
      <c r="A35" s="1" t="s">
        <v>57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饼形图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haiyu li</cp:lastModifiedBy>
  <dcterms:modified xsi:type="dcterms:W3CDTF">2026-09-19T04:46:24Z</dcterms:modified>
</cp:coreProperties>
</file>